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hongy\Downloads\"/>
    </mc:Choice>
  </mc:AlternateContent>
  <xr:revisionPtr revIDLastSave="0" documentId="13_ncr:1_{4A9FD4B8-3BCF-49E3-9C1B-51BE92D933BB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00_Dashboard" sheetId="1" r:id="rId1"/>
    <sheet name="01_Booking_Master" sheetId="2" r:id="rId2"/>
    <sheet name="02_Unit_Status_Engine" sheetId="3" r:id="rId3"/>
    <sheet name="03_Vacancy_List" sheetId="4" r:id="rId4"/>
    <sheet name="04_Parameters" sheetId="5" r:id="rId5"/>
  </sheets>
  <definedNames>
    <definedName name="unit_id_list">tbl_Properties[Unit_ID]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7" i="3" a="1"/>
  <c r="F7" i="3" l="1" a="1"/>
  <c r="F7" i="3" s="1"/>
  <c r="E7" i="3" a="1"/>
  <c r="E7" i="3" s="1"/>
  <c r="D7" i="3" a="1"/>
  <c r="C7" i="3" a="1"/>
  <c r="C7" i="3" s="1"/>
  <c r="G7" i="3" a="1"/>
  <c r="G7" i="3" s="1"/>
  <c r="B9" i="1" a="1"/>
  <c r="B9" i="1" s="1"/>
  <c r="B7" i="3"/>
  <c r="D7" i="3" l="1"/>
  <c r="E14" i="1" s="1" a="1"/>
  <c r="E14" i="1" s="1"/>
  <c r="D21" i="1" l="1" a="1"/>
  <c r="D21" i="1" s="1"/>
  <c r="K9" i="1" a="1"/>
  <c r="K9" i="1" s="1"/>
  <c r="E9" i="1" a="1"/>
  <c r="E9" i="1" s="1"/>
  <c r="B14" i="1" s="1"/>
  <c r="H9" i="1" a="1"/>
  <c r="H9" i="1" s="1"/>
  <c r="B7" i="4" a="1"/>
  <c r="K14" i="1" a="1"/>
  <c r="K14" i="1" s="1"/>
  <c r="H14" i="1" a="1"/>
  <c r="H14" i="1" s="1"/>
  <c r="D19" i="1" a="1"/>
  <c r="D19" i="1" s="1"/>
  <c r="B7" i="4" l="1"/>
  <c r="F7" i="4" s="1" a="1"/>
  <c r="F7" i="4" s="1"/>
  <c r="E7" i="4" l="1" a="1"/>
  <c r="E7" i="4" s="1"/>
  <c r="D7" i="4" a="1"/>
  <c r="D7" i="4" s="1"/>
  <c r="C7" i="4" a="1"/>
  <c r="C7" i="4" s="1"/>
  <c r="H7" i="4" a="1"/>
  <c r="H7" i="4" s="1"/>
  <c r="G7" i="4" a="1"/>
  <c r="G7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<sst xmlns="http://schemas.openxmlformats.org/spreadsheetml/2006/main" count="249" uniqueCount="162">
  <si>
    <t>00 · DASHBOARD</t>
  </si>
  <si>
    <t>01 · BOOKING MASTER</t>
  </si>
  <si>
    <t>02 · STATUS ENGINE</t>
  </si>
  <si>
    <t>03 · VACANCY LIST</t>
  </si>
  <si>
    <t>04 · PARAMETERS</t>
  </si>
  <si>
    <t>Para_Anchor_Date</t>
  </si>
  <si>
    <t>System anchor date used to evaluate 'today' across the workbook. Override this cell to simulate a past or future date for audit or forecast.</t>
  </si>
  <si>
    <t>Para_Alert_Days</t>
  </si>
  <si>
    <t>Check-in / check-out alert window, in days. Lower/raise this value to change how far in advance the Dashboard and Status Engine raise alerts.</t>
  </si>
  <si>
    <t>Para_Target_Occ</t>
  </si>
  <si>
    <t>Target occupancy benchmark shown against the live occupancy rate on the Dashboard.</t>
  </si>
  <si>
    <t>$</t>
  </si>
  <si>
    <t>Para_Currency_Symbol</t>
  </si>
  <si>
    <t>Global currency symbol used across all monetary fields, independent of the local Windows region setting.</t>
  </si>
  <si>
    <t>PARAMETERS &amp; MASTER DATA</t>
  </si>
  <si>
    <t>PROPERTIES MASTER TABLE  —  tbl_Properties</t>
  </si>
  <si>
    <t>Source of truth for all 32 units. Add a row at the bottom to onboard a new unit — every downstream sheet expands automatically.</t>
  </si>
  <si>
    <t>Unit_ID</t>
  </si>
  <si>
    <t>Unit_Name</t>
  </si>
  <si>
    <t>Room_Type</t>
  </si>
  <si>
    <t>Base_Rent</t>
  </si>
  <si>
    <t>U01</t>
  </si>
  <si>
    <t>Room 101</t>
  </si>
  <si>
    <t>Studio</t>
  </si>
  <si>
    <t>U02</t>
  </si>
  <si>
    <t>Room 102</t>
  </si>
  <si>
    <t>1-Bedroom</t>
  </si>
  <si>
    <t>U03</t>
  </si>
  <si>
    <t>Room 103</t>
  </si>
  <si>
    <t>U04</t>
  </si>
  <si>
    <t>Room 104</t>
  </si>
  <si>
    <t>2-Bedroom</t>
  </si>
  <si>
    <t>U05</t>
  </si>
  <si>
    <t>Room 105</t>
  </si>
  <si>
    <t>U06</t>
  </si>
  <si>
    <t>Room 106</t>
  </si>
  <si>
    <t>U07</t>
  </si>
  <si>
    <t>Room 107</t>
  </si>
  <si>
    <t>U08</t>
  </si>
  <si>
    <t>Room 108</t>
  </si>
  <si>
    <t>U09</t>
  </si>
  <si>
    <t>Room 109</t>
  </si>
  <si>
    <t>U10</t>
  </si>
  <si>
    <t>Room 110</t>
  </si>
  <si>
    <t>U11</t>
  </si>
  <si>
    <t>Room 111</t>
  </si>
  <si>
    <t>U12</t>
  </si>
  <si>
    <t>Room 112</t>
  </si>
  <si>
    <t>U13</t>
  </si>
  <si>
    <t>Room 113</t>
  </si>
  <si>
    <t>U14</t>
  </si>
  <si>
    <t>Room 114</t>
  </si>
  <si>
    <t>U15</t>
  </si>
  <si>
    <t>Room 115</t>
  </si>
  <si>
    <t>U16</t>
  </si>
  <si>
    <t>Room 116</t>
  </si>
  <si>
    <t>U17</t>
  </si>
  <si>
    <t>Room 117</t>
  </si>
  <si>
    <t>U18</t>
  </si>
  <si>
    <t>Room 118</t>
  </si>
  <si>
    <t>U19</t>
  </si>
  <si>
    <t>Room 119</t>
  </si>
  <si>
    <t>U20</t>
  </si>
  <si>
    <t>Room 120</t>
  </si>
  <si>
    <t>U21</t>
  </si>
  <si>
    <t>Room 121</t>
  </si>
  <si>
    <t>U22</t>
  </si>
  <si>
    <t>Room 122</t>
  </si>
  <si>
    <t>U23</t>
  </si>
  <si>
    <t>Room 123</t>
  </si>
  <si>
    <t>U24</t>
  </si>
  <si>
    <t>Room 124</t>
  </si>
  <si>
    <t>U25</t>
  </si>
  <si>
    <t>Room 125</t>
  </si>
  <si>
    <t>U26</t>
  </si>
  <si>
    <t>Room 126</t>
  </si>
  <si>
    <t>U27</t>
  </si>
  <si>
    <t>Room 127</t>
  </si>
  <si>
    <t>U28</t>
  </si>
  <si>
    <t>Room 128</t>
  </si>
  <si>
    <t>U29</t>
  </si>
  <si>
    <t>Room 129</t>
  </si>
  <si>
    <t>U30</t>
  </si>
  <si>
    <t>Room 130</t>
  </si>
  <si>
    <t>U31</t>
  </si>
  <si>
    <t>Room 131</t>
  </si>
  <si>
    <t>U32</t>
  </si>
  <si>
    <t>Room 132</t>
  </si>
  <si>
    <t>BOOKING MASTER — Transaction Log</t>
  </si>
  <si>
    <t>Single data-entry point for the entire workbook. Append a new row at the bottom for a new booking, or edit an existing row directly — never edit any other sheet.</t>
  </si>
  <si>
    <t>Booking_ID</t>
  </si>
  <si>
    <t>Tenant_Name</t>
  </si>
  <si>
    <t>Check_In</t>
  </si>
  <si>
    <t>Check_Out</t>
  </si>
  <si>
    <t>Contract_Rent</t>
  </si>
  <si>
    <t>Status</t>
  </si>
  <si>
    <t>BK-2026-0001</t>
  </si>
  <si>
    <t>Sarah Johnson</t>
  </si>
  <si>
    <t>Checked_in</t>
  </si>
  <si>
    <t>BK-2026-0002</t>
  </si>
  <si>
    <t>Michael Chen</t>
  </si>
  <si>
    <t>BK-2026-0003</t>
  </si>
  <si>
    <t>Emily Davis</t>
  </si>
  <si>
    <t>BK-2026-0004</t>
  </si>
  <si>
    <t>David Kim</t>
  </si>
  <si>
    <t>Confirmed</t>
  </si>
  <si>
    <t>BK-2026-0005</t>
  </si>
  <si>
    <t>Jessica Brown</t>
  </si>
  <si>
    <t>BK-2026-0006</t>
  </si>
  <si>
    <t>Daniel Wilson</t>
  </si>
  <si>
    <t>BK-2026-0007</t>
  </si>
  <si>
    <t>Laura Martinez</t>
  </si>
  <si>
    <t>BK-2026-0008</t>
  </si>
  <si>
    <t>Robert Taylor</t>
  </si>
  <si>
    <t>Cancelled</t>
  </si>
  <si>
    <t>BK-2026-0009</t>
  </si>
  <si>
    <t>Amanda Clark</t>
  </si>
  <si>
    <t>BK-2026-0010</t>
  </si>
  <si>
    <t>James Anderson</t>
  </si>
  <si>
    <t>Checked_out</t>
  </si>
  <si>
    <t>BK-2026-0011</t>
  </si>
  <si>
    <t>Olivia Thomas</t>
  </si>
  <si>
    <t>BK-2026-0012</t>
  </si>
  <si>
    <t>BK-2026-0013</t>
  </si>
  <si>
    <t>Christopher Lee</t>
  </si>
  <si>
    <t>BK-2026-0014</t>
  </si>
  <si>
    <t>Sophia Harris</t>
  </si>
  <si>
    <t>BK-2026-0015</t>
  </si>
  <si>
    <t>Matthew Walker</t>
  </si>
  <si>
    <t>BK-2026-0016</t>
  </si>
  <si>
    <t>Ava Robinson</t>
  </si>
  <si>
    <t>UNIT STATUS ENGINE — Live Room-State Calculation</t>
  </si>
  <si>
    <t>100% formula-generated from 01_Booking_Master and 04_Parameters. Every cell spills automatically — do not type into this sheet.</t>
  </si>
  <si>
    <t>Today_Status</t>
  </si>
  <si>
    <t>Current_Tenant</t>
  </si>
  <si>
    <t>Next_Checkin</t>
  </si>
  <si>
    <t>Days_To_Event</t>
  </si>
  <si>
    <t>VACANCY LIST — Ready-to-Lease Units</t>
  </si>
  <si>
    <t>Auto-filtered from 02_Unit_Status_Engine — Vacant and Check-in Soon units only. File → Save As → PDF to share with leasing channels.</t>
  </si>
  <si>
    <t>Current_Status</t>
  </si>
  <si>
    <t>OPERATIONS DASHBOARD — 32-Unit Furnished Portfolio</t>
  </si>
  <si>
    <t>Live KPIs pulled directly from 02_Unit_Status_Engine. No manual entry on this sheet.</t>
  </si>
  <si>
    <t>KEY PERFORMANCE INDICATORS</t>
  </si>
  <si>
    <t>TOTAL UNITS</t>
  </si>
  <si>
    <t>32-unit portfolio</t>
  </si>
  <si>
    <t>OCCUPIED UNITS</t>
  </si>
  <si>
    <t>Generating rent today</t>
  </si>
  <si>
    <t>VACANT UNITS</t>
  </si>
  <si>
    <t>Ready or nearly ready to lease</t>
  </si>
  <si>
    <t>RESERVED (LOCKED)</t>
  </si>
  <si>
    <t>Confirmed, not yet checked in</t>
  </si>
  <si>
    <t>OCCUPANCY RATE</t>
  </si>
  <si>
    <t>vs. 85.0% target (04_Parameters!B5)</t>
  </si>
  <si>
    <t>CHECKOUT ALERTS</t>
  </si>
  <si>
    <t>Schedule cleaning &amp; key recovery</t>
  </si>
  <si>
    <t>CHECK-IN ALERTS</t>
  </si>
  <si>
    <t>Confirm turnover readiness</t>
  </si>
  <si>
    <t>VACANCY LOSS / DAY</t>
  </si>
  <si>
    <t>Base rent left uncollected today</t>
  </si>
  <si>
    <t xml:space="preserve">  ACTION ALERTS</t>
  </si>
  <si>
    <t>Checkout Soon:</t>
  </si>
  <si>
    <t>Check-in Soon: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</si>
</sst>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&quot;$&quot;#,##0.00"/>
    <numFmt numFmtId="166" formatCode="yyyy\-mm\-dd"/>
  </numFmts>
  <fonts count="17">
    <font>
      <sz val="11"/>
      <color theme="1"/>
      <name val="等线"/>
      <family val="2"/>
      <scheme val="minor"/>
    </font>
    <font>
      <b/>
      <sz val="12"/>
      <color rgb="FFFFFFFF"/>
      <name val="Garamond"/>
      <family val="2"/>
    </font>
    <font>
      <sz val="12"/>
      <color rgb="FFF5F5F2"/>
      <name val="Garamond"/>
      <family val="2"/>
    </font>
    <font>
      <b/>
      <sz val="20"/>
      <color rgb="FF051C2C"/>
      <name val="Garamond"/>
      <family val="2"/>
    </font>
    <font>
      <i/>
      <sz val="10"/>
      <color rgb="FF888888"/>
      <name val="DengXian"/>
      <family val="2"/>
    </font>
    <font>
      <b/>
      <sz val="14"/>
      <color rgb="FF051C2C"/>
      <name val="Garamond"/>
      <family val="2"/>
    </font>
    <font>
      <sz val="12"/>
      <color rgb="FF888888"/>
      <name val="Garamond"/>
      <family val="2"/>
    </font>
    <font>
      <b/>
      <sz val="28"/>
      <color rgb="FF051C2C"/>
      <name val="Garamond"/>
      <family val="2"/>
    </font>
    <font>
      <sz val="10"/>
      <color rgb="FF888888"/>
      <name val="DengXian"/>
      <family val="2"/>
    </font>
    <font>
      <sz val="10"/>
      <color rgb="FF00C853"/>
      <name val="DengXian"/>
      <family val="2"/>
    </font>
    <font>
      <b/>
      <sz val="26"/>
      <color rgb="FF051C2C"/>
      <name val="Garamond"/>
      <family val="2"/>
    </font>
    <font>
      <sz val="10"/>
      <color rgb="FFD32F2F"/>
      <name val="DengXian"/>
      <family val="2"/>
    </font>
    <font>
      <b/>
      <sz val="13"/>
      <color rgb="FFFFFFFF"/>
      <name val="Garamond"/>
      <family val="2"/>
    </font>
    <font>
      <b/>
      <sz val="11"/>
      <color rgb="FF051C2C"/>
      <name val="Garamond"/>
      <family val="2"/>
    </font>
    <font>
      <sz val="11"/>
      <color rgb="FF1A1A2E"/>
      <name val="DengXian"/>
      <family val="2"/>
    </font>
    <font>
      <b/>
      <sz val="13"/>
      <color rgb="FF051C2C"/>
      <name val="DengXian"/>
      <family val="2"/>
    </font>
    <font>
      <b/>
      <sz val="11"/>
      <color rgb="FF2251FF"/>
      <name val="Garamond"/>
      <family val="2"/>
    </font>
  </fonts>
  <fills count="7">
    <fill>
      <patternFill patternType="none"/>
    </fill>
    <fill>
      <patternFill patternType="gray125"/>
    </fill>
    <fill>
      <patternFill patternType="solid">
        <fgColor rgb="FFF5F5F2"/>
        <bgColor indexed="64"/>
      </patternFill>
    </fill>
    <fill>
      <patternFill patternType="solid">
        <fgColor rgb="FF2251FF"/>
        <bgColor indexed="64"/>
      </patternFill>
    </fill>
    <fill>
      <patternFill patternType="solid">
        <fgColor rgb="FF051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DE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ADAD6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6" fillId="5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right" vertical="center" wrapText="1"/>
    </xf>
    <xf numFmtId="0" fontId="14" fillId="6" borderId="1" xfId="0" applyFont="1" applyFill="1" applyBorder="1" applyAlignment="1">
      <alignment horizontal="left" vertical="center"/>
    </xf>
    <xf numFmtId="166" fontId="14" fillId="6" borderId="1" xfId="0" applyNumberFormat="1" applyFont="1" applyFill="1" applyBorder="1" applyAlignment="1">
      <alignment horizontal="right" vertical="center"/>
    </xf>
    <xf numFmtId="165" fontId="14" fillId="6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166" fontId="14" fillId="2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left" vertical="center"/>
    </xf>
    <xf numFmtId="166" fontId="14" fillId="5" borderId="1" xfId="0" applyNumberFormat="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right" vertical="center"/>
    </xf>
    <xf numFmtId="165" fontId="14" fillId="2" borderId="1" xfId="0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166" fontId="15" fillId="6" borderId="2" xfId="0" applyNumberFormat="1" applyFont="1" applyFill="1" applyBorder="1" applyAlignment="1">
      <alignment horizontal="left" vertical="center"/>
    </xf>
    <xf numFmtId="1" fontId="15" fillId="6" borderId="2" xfId="0" applyNumberFormat="1" applyFont="1" applyFill="1" applyBorder="1" applyAlignment="1">
      <alignment horizontal="left" vertical="center"/>
    </xf>
    <xf numFmtId="164" fontId="15" fillId="6" borderId="2" xfId="0" applyNumberFormat="1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165" fontId="10" fillId="5" borderId="0" xfId="0" applyNumberFormat="1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2">
    <dxf>
      <font>
        <color rgb="FF1A1A2E"/>
      </font>
      <fill>
        <patternFill>
          <bgColor rgb="FFFFFDE7"/>
        </patternFill>
      </fill>
      <border>
        <left/>
        <right/>
        <top/>
        <bottom style="thin">
          <color rgb="FFDADAD6"/>
        </bottom>
        <vertical/>
        <horizontal/>
      </border>
    </dxf>
    <dxf>
      <font>
        <color rgb="FF1A1A2E"/>
      </font>
      <numFmt numFmtId="165" formatCode="&quot;$&quot;#,##0.00"/>
      <fill>
        <patternFill>
          <bgColor rgb="FFFFFDE7"/>
        </patternFill>
      </fill>
      <border>
        <left/>
        <right/>
        <top/>
        <bottom style="thin">
          <color rgb="FFDADAD6"/>
        </bottom>
        <vertical/>
        <horizontal/>
      </border>
    </dxf>
    <dxf>
      <font>
        <color rgb="FF1A1A2E"/>
      </font>
      <numFmt numFmtId="166" formatCode="yyyy\-mm\-dd"/>
      <fill>
        <patternFill>
          <bgColor rgb="FFFFFDE7"/>
        </patternFill>
      </fill>
      <border>
        <left/>
        <right/>
        <top/>
        <bottom style="thin">
          <color rgb="FFDADAD6"/>
        </bottom>
        <vertical/>
        <horizontal/>
      </border>
    </dxf>
    <dxf>
      <font>
        <color rgb="FF1A1A2E"/>
      </font>
      <numFmt numFmtId="166" formatCode="yyyy\-mm\-dd"/>
      <fill>
        <patternFill>
          <bgColor rgb="FFFFFDE7"/>
        </patternFill>
      </fill>
      <border>
        <left/>
        <right/>
        <top/>
        <bottom style="thin">
          <color rgb="FFDADAD6"/>
        </bottom>
        <vertical/>
        <horizontal/>
      </border>
    </dxf>
    <dxf>
      <font>
        <color rgb="FF1A1A2E"/>
      </font>
      <fill>
        <patternFill>
          <bgColor rgb="FFFFFDE7"/>
        </patternFill>
      </fill>
      <border>
        <left/>
        <right/>
        <top/>
        <bottom style="thin">
          <color rgb="FFDADAD6"/>
        </bottom>
        <vertical/>
        <horizontal/>
      </border>
    </dxf>
    <dxf>
      <font>
        <color rgb="FF1A1A2E"/>
      </font>
      <fill>
        <patternFill>
          <bgColor rgb="FFFFFDE7"/>
        </patternFill>
      </fill>
      <border>
        <left/>
        <right/>
        <top/>
        <bottom style="thin">
          <color rgb="FFDADAD6"/>
        </bottom>
        <vertical/>
        <horizontal/>
      </border>
    </dxf>
    <dxf>
      <font>
        <color rgb="FF1A1A2E"/>
      </font>
      <fill>
        <patternFill>
          <bgColor rgb="FFFFFDE7"/>
        </patternFill>
      </fill>
      <border>
        <left/>
        <right/>
        <top/>
        <bottom style="thin">
          <color rgb="FFDADAD6"/>
        </bottom>
        <vertical/>
        <horizontal/>
      </border>
    </dxf>
    <dxf>
      <font>
        <color rgb="FF1A1A2E"/>
      </font>
      <numFmt numFmtId="165" formatCode="&quot;$&quot;#,##0.00"/>
      <fill>
        <patternFill patternType="solid">
          <fgColor indexed="64"/>
          <bgColor rgb="FFFFFDE7"/>
        </patternFill>
      </fill>
      <border outline="0">
        <left/>
        <right/>
        <top/>
        <bottom style="thin">
          <color rgb="FFDADAD6"/>
        </bottom>
      </border>
    </dxf>
    <dxf>
      <font>
        <color rgb="FF1A1A2E"/>
      </font>
      <fill>
        <patternFill patternType="solid">
          <fgColor indexed="64"/>
          <bgColor rgb="FFFFFDE7"/>
        </patternFill>
      </fill>
      <border outline="0">
        <left/>
        <right/>
        <top/>
        <bottom style="thin">
          <color rgb="FFDADAD6"/>
        </bottom>
      </border>
    </dxf>
    <dxf>
      <font>
        <color rgb="FF1A1A2E"/>
      </font>
      <fill>
        <patternFill patternType="solid">
          <fgColor indexed="64"/>
          <bgColor rgb="FFFFFDE7"/>
        </patternFill>
      </fill>
      <border outline="0">
        <left/>
        <right/>
        <top/>
        <bottom style="thin">
          <color rgb="FFDADAD6"/>
        </bottom>
      </border>
    </dxf>
    <dxf>
      <font>
        <color rgb="FF1A1A2E"/>
      </font>
      <fill>
        <patternFill patternType="solid">
          <fgColor indexed="64"/>
          <bgColor rgb="FFFFFDE7"/>
        </patternFill>
      </fill>
      <border outline="0">
        <left/>
        <right/>
        <top/>
        <bottom style="thin">
          <color rgb="FFDADAD6"/>
        </bottom>
      </border>
    </dxf>
    <dxf>
      <fill>
        <patternFill patternType="solid">
          <fgColor indexed="64"/>
          <bgColor rgb="FFFFFDE7"/>
        </patternFill>
      </fill>
    </dxf>
  </dxfs>
  <tableStyles count="1" defaultTableStyle="TableStyleMedium9" defaultPivotStyle="PivotStyleLight16">
    <tableStyle name="Invisible" pivot="0" table="0" count="0" xr9:uid="{A703C721-F424-49CA-84FA-580A528FFBAF}"/>
  </tableStyles>
  <colors>
    <mruColors>
      <color rgb="FFFFF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051C2C"/>
                </a:solidFill>
                <a:latin typeface="Garamond"/>
              </a:defRPr>
            </a:pPr>
            <a:r>
              <a:rPr lang="en-US" sz="1200" baseline="0">
                <a:solidFill>
                  <a:srgbClr val="051C2C"/>
                </a:solidFill>
                <a:latin typeface="Garamond"/>
              </a:rPr>
              <a:t>Portfolio Status Split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Portfolio Split</c:v>
          </c:tx>
          <c:dPt>
            <c:idx val="0"/>
            <c:bubble3D val="0"/>
            <c:spPr>
              <a:solidFill>
                <a:srgbClr val="2251FF"/>
              </a:solidFill>
            </c:spPr>
            <c:extLst>
              <c:ext xmlns:c16="http://schemas.microsoft.com/office/drawing/2014/chart" uri="{C3380CC4-5D6E-409C-BE32-E72D297353CC}">
                <c16:uniqueId val="{00000000-ED7F-4021-8CD5-7F837B91BD3C}"/>
              </c:ext>
            </c:extLst>
          </c:dPt>
          <c:dPt>
            <c:idx val="1"/>
            <c:bubble3D val="0"/>
            <c:spPr>
              <a:solidFill>
                <a:srgbClr val="888888"/>
              </a:solidFill>
            </c:spPr>
            <c:extLst>
              <c:ext xmlns:c16="http://schemas.microsoft.com/office/drawing/2014/chart" uri="{C3380CC4-5D6E-409C-BE32-E72D297353CC}">
                <c16:uniqueId val="{00000001-ED7F-4021-8CD5-7F837B91BD3C}"/>
              </c:ext>
            </c:extLst>
          </c:dPt>
          <c:dPt>
            <c:idx val="2"/>
            <c:bubble3D val="0"/>
            <c:spPr>
              <a:solidFill>
                <a:srgbClr val="051C2C"/>
              </a:solidFill>
            </c:spPr>
            <c:extLst>
              <c:ext xmlns:c16="http://schemas.microsoft.com/office/drawing/2014/chart" uri="{C3380CC4-5D6E-409C-BE32-E72D297353CC}">
                <c16:uniqueId val="{00000002-ED7F-4021-8CD5-7F837B91BD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aseline="0">
                    <a:solidFill>
                      <a:srgbClr val="FFFFFF"/>
                    </a:solidFill>
                    <a:latin typeface="DengXi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'00_Dashboard'!$E$8:$K$8</c:f>
              <c:strCache>
                <c:ptCount val="7"/>
                <c:pt idx="0">
                  <c:v>OCCUPIED UNITS</c:v>
                </c:pt>
                <c:pt idx="3">
                  <c:v>VACANT UNITS</c:v>
                </c:pt>
                <c:pt idx="6">
                  <c:v>RESERVED (LOCKED)</c:v>
                </c:pt>
              </c:strCache>
            </c:strRef>
          </c:cat>
          <c:val>
            <c:numRef>
              <c:f>'00_Dashboard'!$E$9:$K$9</c:f>
              <c:numCache>
                <c:formatCode>General</c:formatCode>
                <c:ptCount val="7"/>
                <c:pt idx="0">
                  <c:v>5</c:v>
                </c:pt>
                <c:pt idx="3">
                  <c:v>25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7F-4021-8CD5-7F837B91B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</c:plotArea>
    <c:legend>
      <c:legendPos val="b"/>
      <c:overlay val="0"/>
      <c:txPr>
        <a:bodyPr/>
        <a:lstStyle/>
        <a:p>
          <a:pPr rtl="0">
            <a:defRPr sz="900" baseline="0">
              <a:solidFill>
                <a:srgbClr val="888888"/>
              </a:solidFill>
              <a:latin typeface="DengX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5F5F2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5</xdr:col>
      <xdr:colOff>457200</xdr:colOff>
      <xdr:row>36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ookings" displayName="tbl_Bookings" ref="B6:H22" totalsRowShown="0">
  <autoFilter ref="B6:H22" xr:uid="{00000000-0009-0000-0100-000001000000}"/>
  <tableColumns count="7">
    <tableColumn id="1" xr3:uid="{00000000-0010-0000-0000-000001000000}" name="Booking_ID" dataDxfId="6"/>
    <tableColumn id="2" xr3:uid="{00000000-0010-0000-0000-000002000000}" name="Unit_ID" dataDxfId="5"/>
    <tableColumn id="3" xr3:uid="{00000000-0010-0000-0000-000003000000}" name="Tenant_Name" dataDxfId="4"/>
    <tableColumn id="4" xr3:uid="{00000000-0010-0000-0000-000004000000}" name="Check_In" dataDxfId="3"/>
    <tableColumn id="5" xr3:uid="{00000000-0010-0000-0000-000005000000}" name="Check_Out" dataDxfId="2"/>
    <tableColumn id="6" xr3:uid="{00000000-0010-0000-0000-000006000000}" name="Contract_Rent" dataDxfId="1"/>
    <tableColumn id="7" xr3:uid="{00000000-0010-0000-0000-000007000000}" name="Status" dataDxfId="0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perties" displayName="tbl_Properties" ref="B12:E44" totalsRowShown="0" dataDxfId="11">
  <autoFilter ref="B12:E44" xr:uid="{00000000-0009-0000-0100-000002000000}"/>
  <tableColumns count="4">
    <tableColumn id="1" xr3:uid="{00000000-0010-0000-0100-000001000000}" name="Unit_ID" dataDxfId="10"/>
    <tableColumn id="2" xr3:uid="{00000000-0010-0000-0100-000002000000}" name="Unit_Name" dataDxfId="9"/>
    <tableColumn id="3" xr3:uid="{00000000-0010-0000-0100-000003000000}" name="Room_Type" dataDxfId="8"/>
    <tableColumn id="4" xr3:uid="{00000000-0010-0000-0100-000004000000}" name="Base_Rent" dataDxf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AlexHong">
      <a:dk1>
        <a:srgbClr val="000000"/>
      </a:dk1>
      <a:lt1>
        <a:srgbClr val="FFFFFF"/>
      </a:lt1>
      <a:dk2>
        <a:srgbClr val="081D58"/>
      </a:dk2>
      <a:lt2>
        <a:srgbClr val="F2F2F2"/>
      </a:lt2>
      <a:accent1>
        <a:srgbClr val="081D58"/>
      </a:accent1>
      <a:accent2>
        <a:srgbClr val="2D4BFF"/>
      </a:accent2>
      <a:accent3>
        <a:srgbClr val="00B0F0"/>
      </a:accent3>
      <a:accent4>
        <a:srgbClr val="D9D9D9"/>
      </a:accent4>
      <a:accent5>
        <a:srgbClr val="757575"/>
      </a:accent5>
      <a:accent6>
        <a:srgbClr val="E5F4FA"/>
      </a:accent6>
      <a:hlink>
        <a:srgbClr val="00B0F0"/>
      </a:hlink>
      <a:folHlink>
        <a:srgbClr val="757575"/>
      </a:folHlink>
    </a:clrScheme>
    <a:fontScheme name="AlexHong">
      <a:majorFont>
        <a:latin typeface="Garamond"/>
        <a:ea typeface="宋体"/>
        <a:cs typeface=""/>
      </a:majorFont>
      <a:minorFont>
        <a:latin typeface="等线"/>
        <a:ea typeface="等线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251FF"/>
  </sheetPr>
  <dimension ref="B1:T60"/>
  <sheetViews>
    <sheetView showGridLines="0" workbookViewId="0">
      <pane ySplit="2" topLeftCell="A3" activePane="bottomLeft" state="frozen"/>
      <selection pane="bottomLeft" activeCell="K11" sqref="K11:L11"/>
    </sheetView>
  </sheetViews>
  <sheetFormatPr defaultRowHeight="13.9"/>
  <cols>
    <col min="1" max="1" width="3.73046875" customWidth="1"/>
    <col min="2" max="11" width="15.06640625" customWidth="1"/>
    <col min="12" max="12" width="14" customWidth="1"/>
    <col min="13" max="16" width="9.73046875" customWidth="1"/>
    <col min="17" max="20" width="12.73046875" style="1" customWidth="1"/>
  </cols>
  <sheetData>
    <row r="1" spans="2:16" s="1" customFormat="1"/>
    <row r="2" spans="2:16" ht="15.4">
      <c r="B2" s="28" t="s">
        <v>0</v>
      </c>
      <c r="C2" s="28"/>
      <c r="D2" s="27" t="s">
        <v>1</v>
      </c>
      <c r="E2" s="27"/>
      <c r="F2" s="27" t="s">
        <v>2</v>
      </c>
      <c r="G2" s="27"/>
      <c r="H2" s="27" t="s">
        <v>3</v>
      </c>
      <c r="I2" s="27"/>
      <c r="J2" s="27" t="s">
        <v>4</v>
      </c>
      <c r="K2" s="27"/>
    </row>
    <row r="3" spans="2:16" s="1" customFormat="1" ht="25.5">
      <c r="B3" s="26" t="s">
        <v>140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2:16" s="1" customFormat="1">
      <c r="B4" s="24" t="s">
        <v>141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2:16" s="1" customFormat="1"/>
    <row r="6" spans="2:16" s="1" customFormat="1" ht="18">
      <c r="B6" s="23" t="s">
        <v>142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2:16" s="1" customFormat="1"/>
    <row r="8" spans="2:16" s="21" customFormat="1" ht="15.4">
      <c r="B8" s="34" t="s">
        <v>143</v>
      </c>
      <c r="C8" s="34"/>
      <c r="E8" s="34" t="s">
        <v>145</v>
      </c>
      <c r="F8" s="34"/>
      <c r="H8" s="34" t="s">
        <v>147</v>
      </c>
      <c r="I8" s="34"/>
      <c r="K8" s="34" t="s">
        <v>149</v>
      </c>
      <c r="L8" s="34"/>
    </row>
    <row r="9" spans="2:16" s="22" customFormat="1" ht="36">
      <c r="B9" s="35" cm="1">
        <f t="array" ref="B9">COUNTA(_xlfn.ANCHORARRAY('02_Unit_Status_Engine'!$B$7))</f>
        <v>32</v>
      </c>
      <c r="C9" s="35"/>
      <c r="E9" s="35" cm="1">
        <f t="array" aca="1" ref="E9" ca="1">COUNTIF(_xlfn.ANCHORARRAY('02_Unit_Status_Engine'!$D$7),"Occupied")+COUNTIF(_xlfn.ANCHORARRAY('02_Unit_Status_Engine'!$D$7),"Checkout Soon")</f>
        <v>5</v>
      </c>
      <c r="F9" s="35"/>
      <c r="H9" s="35" cm="1">
        <f t="array" aca="1" ref="H9" ca="1">COUNTIF(_xlfn.ANCHORARRAY('02_Unit_Status_Engine'!$D$7),"Vacant")+COUNTIF(_xlfn.ANCHORARRAY('02_Unit_Status_Engine'!$D$7),"Check-in Soon")</f>
        <v>25</v>
      </c>
      <c r="I9" s="35"/>
      <c r="K9" s="35" cm="1">
        <f t="array" aca="1" ref="K9" ca="1">COUNTIF(_xlfn.ANCHORARRAY('02_Unit_Status_Engine'!$D$7),"Reserved")</f>
        <v>2</v>
      </c>
      <c r="L9" s="35"/>
    </row>
    <row r="10" spans="2:16" s="21" customFormat="1"/>
    <row r="11" spans="2:16" s="21" customFormat="1">
      <c r="B11" s="31" t="s">
        <v>144</v>
      </c>
      <c r="C11" s="31"/>
      <c r="E11" s="30" t="s">
        <v>146</v>
      </c>
      <c r="F11" s="30"/>
      <c r="H11" s="31" t="s">
        <v>148</v>
      </c>
      <c r="I11" s="31"/>
      <c r="K11" s="31" t="s">
        <v>150</v>
      </c>
      <c r="L11" s="31"/>
    </row>
    <row r="12" spans="2:16" s="21" customFormat="1"/>
    <row r="13" spans="2:16" s="21" customFormat="1" ht="15.4">
      <c r="B13" s="34" t="s">
        <v>151</v>
      </c>
      <c r="C13" s="34"/>
      <c r="E13" s="34" t="s">
        <v>153</v>
      </c>
      <c r="F13" s="34"/>
      <c r="H13" s="2" t="s">
        <v>155</v>
      </c>
      <c r="I13" s="2"/>
      <c r="K13" s="34" t="s">
        <v>157</v>
      </c>
      <c r="L13" s="34"/>
    </row>
    <row r="14" spans="2:16" s="22" customFormat="1" ht="36">
      <c r="B14" s="37">
        <f ca="1">E9/B9</f>
        <v>0.15625</v>
      </c>
      <c r="C14" s="37"/>
      <c r="E14" s="35" cm="1">
        <f t="array" aca="1" ref="E14" ca="1">COUNTIF(_xlfn.ANCHORARRAY('02_Unit_Status_Engine'!$D$7),"Checkout Soon")</f>
        <v>3</v>
      </c>
      <c r="F14" s="35"/>
      <c r="H14" s="35" cm="1">
        <f t="array" aca="1" ref="H14" ca="1">COUNTIF(_xlfn.ANCHORARRAY('02_Unit_Status_Engine'!$D$7),"Check-in Soon")</f>
        <v>2</v>
      </c>
      <c r="I14" s="35"/>
      <c r="K14" s="36" cm="1">
        <f t="array" aca="1" ref="K14" ca="1">SUMPRODUCT((_xlfn.ANCHORARRAY('02_Unit_Status_Engine'!$D$7)="Vacant")*_xlfn.XLOOKUP(_xlfn.ANCHORARRAY('02_Unit_Status_Engine'!$B$7),tbl_Properties[Unit_ID],tbl_Properties[Base_Rent],0))/30</f>
        <v>1252.5</v>
      </c>
      <c r="L14" s="36"/>
    </row>
    <row r="15" spans="2:16" s="21" customFormat="1"/>
    <row r="16" spans="2:16" s="21" customFormat="1">
      <c r="B16" s="31" t="s">
        <v>152</v>
      </c>
      <c r="C16" s="31"/>
      <c r="E16" s="29" t="s">
        <v>154</v>
      </c>
      <c r="F16" s="29"/>
      <c r="H16" s="30" t="s">
        <v>156</v>
      </c>
      <c r="I16" s="30"/>
      <c r="K16" s="29" t="s">
        <v>158</v>
      </c>
      <c r="L16" s="29"/>
    </row>
    <row r="17" spans="2:16" s="1" customFormat="1"/>
    <row r="18" spans="2:16" s="1" customFormat="1" ht="16.899999999999999">
      <c r="B18" s="32" t="s">
        <v>159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2:16" s="1" customFormat="1" ht="14.25">
      <c r="B19" s="3" t="s">
        <v>160</v>
      </c>
      <c r="D19" s="33" t="str" cm="1">
        <f t="array" aca="1" ref="D19" ca="1">IF(COUNTIF(_xlfn.ANCHORARRAY('02_Unit_Status_Engine'!$D$7),"Checkout Soon")=0,"No units due for checkout within the alert window.",_xlfn.TEXTJOIN(", ",TRUE,IF(_xlfn.ANCHORARRAY('02_Unit_Status_Engine'!$D$7)="Checkout Soon",_xlfn.ANCHORARRAY('02_Unit_Status_Engine'!$C$7)&amp;" ("&amp;_xlfn.ANCHORARRAY('02_Unit_Status_Engine'!$G$7)&amp;"d)","")))</f>
        <v>Room 102 (1d), Room 120 (2d), Room 125 (3d)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</row>
    <row r="20" spans="2:16" s="1" customFormat="1"/>
    <row r="21" spans="2:16" s="1" customFormat="1" ht="14.25">
      <c r="B21" s="3" t="s">
        <v>161</v>
      </c>
      <c r="D21" s="33" t="str" cm="1">
        <f t="array" aca="1" ref="D21" ca="1">IF(COUNTIF(_xlfn.ANCHORARRAY('02_Unit_Status_Engine'!$D$7),"Check-in Soon")=0,"No units due for check-in within the alert window.",_xlfn.TEXTJOIN(", ",TRUE,IF(_xlfn.ANCHORARRAY('02_Unit_Status_Engine'!$D$7)="Check-in Soon",_xlfn.ANCHORARRAY('02_Unit_Status_Engine'!$C$7)&amp;" ("&amp;_xlfn.ANCHORARRAY('02_Unit_Status_Engine'!$G$7)&amp;"d)","")))</f>
        <v>Room 106 (2d), Room 115 (1d)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</row>
    <row r="22" spans="2:16" s="1" customFormat="1"/>
    <row r="23" spans="2:16" s="1" customFormat="1"/>
    <row r="24" spans="2:16" s="1" customFormat="1"/>
    <row r="25" spans="2:16" s="1" customFormat="1"/>
    <row r="26" spans="2:16" s="1" customFormat="1"/>
    <row r="27" spans="2:16" s="1" customFormat="1"/>
    <row r="28" spans="2:16" s="1" customFormat="1"/>
    <row r="29" spans="2:16" s="1" customFormat="1"/>
    <row r="30" spans="2:16" s="1" customFormat="1"/>
    <row r="31" spans="2:16" s="1" customFormat="1"/>
    <row r="32" spans="2:16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34">
    <mergeCell ref="B2:C2"/>
    <mergeCell ref="D2:E2"/>
    <mergeCell ref="F2:G2"/>
    <mergeCell ref="H2:I2"/>
    <mergeCell ref="J2:K2"/>
    <mergeCell ref="B13:C13"/>
    <mergeCell ref="B14:C14"/>
    <mergeCell ref="B16:C16"/>
    <mergeCell ref="B11:C11"/>
    <mergeCell ref="B3:P3"/>
    <mergeCell ref="B4:P4"/>
    <mergeCell ref="B6:P6"/>
    <mergeCell ref="B18:P18"/>
    <mergeCell ref="D19:P19"/>
    <mergeCell ref="D21:P21"/>
    <mergeCell ref="B8:C8"/>
    <mergeCell ref="E8:F8"/>
    <mergeCell ref="H8:I8"/>
    <mergeCell ref="K8:L8"/>
    <mergeCell ref="K13:L13"/>
    <mergeCell ref="B9:C9"/>
    <mergeCell ref="E9:F9"/>
    <mergeCell ref="H9:I9"/>
    <mergeCell ref="K9:L9"/>
    <mergeCell ref="K14:L14"/>
    <mergeCell ref="H14:I14"/>
    <mergeCell ref="E14:F14"/>
    <mergeCell ref="E13:F13"/>
    <mergeCell ref="E16:F16"/>
    <mergeCell ref="H16:I16"/>
    <mergeCell ref="K16:L16"/>
    <mergeCell ref="K11:L11"/>
    <mergeCell ref="H11:I11"/>
    <mergeCell ref="E11:F11"/>
  </mergeCells>
  <hyperlinks>
    <hyperlink ref="J2" location="'04_Parameters'!A1" display="04 · PARAMETERS" xr:uid="{00000000-0004-0000-0000-000004000000}"/>
    <hyperlink ref="H2" location="'03_Vacancy_List'!A1" display="03 · VACANCY LIST" xr:uid="{00000000-0004-0000-0000-000003000000}"/>
    <hyperlink ref="F2" location="'02_Unit_Status_Engine'!A1" display="02 · STATUS ENGINE" xr:uid="{00000000-0004-0000-0000-000002000000}"/>
    <hyperlink ref="D2" location="'01_Booking_Master'!A1" display="01 · BOOKING MASTER" xr:uid="{00000000-0004-0000-0000-000001000000}"/>
    <hyperlink ref="B2" location="'00_Dashboard'!A1" display="00 · DASHBOARD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1C2C"/>
  </sheetPr>
  <dimension ref="B1:T60"/>
  <sheetViews>
    <sheetView showGridLines="0" workbookViewId="0">
      <pane ySplit="2" topLeftCell="A3" activePane="bottomLeft" state="frozen"/>
      <selection pane="bottomLeft" activeCell="C7" sqref="C7:C22"/>
    </sheetView>
  </sheetViews>
  <sheetFormatPr defaultRowHeight="13.9"/>
  <cols>
    <col min="1" max="1" width="3.73046875" customWidth="1"/>
    <col min="2" max="2" width="14.59765625" customWidth="1"/>
    <col min="3" max="3" width="10.73046875" customWidth="1"/>
    <col min="4" max="4" width="16.86328125" customWidth="1"/>
    <col min="5" max="5" width="12.19921875" customWidth="1"/>
    <col min="6" max="6" width="13.796875" customWidth="1"/>
    <col min="7" max="7" width="14.46484375" customWidth="1"/>
    <col min="8" max="8" width="12.19921875" customWidth="1"/>
    <col min="9" max="20" width="12.73046875" style="1" customWidth="1"/>
  </cols>
  <sheetData>
    <row r="1" spans="2:14" s="1" customFormat="1"/>
    <row r="2" spans="2:14" ht="15.4">
      <c r="B2" s="27" t="s">
        <v>0</v>
      </c>
      <c r="C2" s="27"/>
      <c r="D2" s="28" t="s">
        <v>1</v>
      </c>
      <c r="E2" s="28"/>
      <c r="F2" s="27" t="s">
        <v>2</v>
      </c>
      <c r="G2" s="27"/>
      <c r="H2" s="27" t="s">
        <v>3</v>
      </c>
      <c r="I2" s="27"/>
      <c r="J2" s="27" t="s">
        <v>4</v>
      </c>
      <c r="K2" s="27"/>
    </row>
    <row r="3" spans="2:14" s="1" customFormat="1" ht="25.5">
      <c r="B3" s="26" t="s">
        <v>88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2:14" s="1" customFormat="1">
      <c r="B4" s="24" t="s">
        <v>89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2:14" s="1" customFormat="1"/>
    <row r="6" spans="2:14" s="1" customFormat="1" ht="15.4">
      <c r="B6" s="4" t="s">
        <v>90</v>
      </c>
      <c r="C6" s="4" t="s">
        <v>17</v>
      </c>
      <c r="D6" s="4" t="s">
        <v>91</v>
      </c>
      <c r="E6" s="4" t="s">
        <v>92</v>
      </c>
      <c r="F6" s="4" t="s">
        <v>93</v>
      </c>
      <c r="G6" s="5" t="s">
        <v>94</v>
      </c>
      <c r="H6" s="4" t="s">
        <v>95</v>
      </c>
    </row>
    <row r="7" spans="2:14" s="1" customFormat="1">
      <c r="B7" s="6" t="s">
        <v>96</v>
      </c>
      <c r="C7" s="6" t="s">
        <v>21</v>
      </c>
      <c r="D7" s="6" t="s">
        <v>97</v>
      </c>
      <c r="E7" s="7">
        <v>46215</v>
      </c>
      <c r="F7" s="7">
        <v>46245</v>
      </c>
      <c r="G7" s="8">
        <v>1550</v>
      </c>
      <c r="H7" s="6" t="s">
        <v>98</v>
      </c>
    </row>
    <row r="8" spans="2:14" s="1" customFormat="1">
      <c r="B8" s="6" t="s">
        <v>99</v>
      </c>
      <c r="C8" s="6" t="s">
        <v>24</v>
      </c>
      <c r="D8" s="6" t="s">
        <v>100</v>
      </c>
      <c r="E8" s="7">
        <v>46200</v>
      </c>
      <c r="F8" s="7">
        <v>46227</v>
      </c>
      <c r="G8" s="8">
        <v>1400</v>
      </c>
      <c r="H8" s="6" t="s">
        <v>98</v>
      </c>
    </row>
    <row r="9" spans="2:14" s="1" customFormat="1">
      <c r="B9" s="6" t="s">
        <v>101</v>
      </c>
      <c r="C9" s="6" t="s">
        <v>27</v>
      </c>
      <c r="D9" s="6" t="s">
        <v>102</v>
      </c>
      <c r="E9" s="7">
        <v>46185</v>
      </c>
      <c r="F9" s="7">
        <v>46226</v>
      </c>
      <c r="G9" s="8">
        <v>1800</v>
      </c>
      <c r="H9" s="6" t="s">
        <v>98</v>
      </c>
    </row>
    <row r="10" spans="2:14" s="1" customFormat="1">
      <c r="B10" s="6" t="s">
        <v>103</v>
      </c>
      <c r="C10" s="6" t="s">
        <v>29</v>
      </c>
      <c r="D10" s="6" t="s">
        <v>104</v>
      </c>
      <c r="E10" s="7">
        <v>46223</v>
      </c>
      <c r="F10" s="7">
        <v>46240</v>
      </c>
      <c r="G10" s="8">
        <v>1650</v>
      </c>
      <c r="H10" s="6" t="s">
        <v>105</v>
      </c>
    </row>
    <row r="11" spans="2:14" s="1" customFormat="1">
      <c r="B11" s="6" t="s">
        <v>106</v>
      </c>
      <c r="C11" s="6" t="s">
        <v>32</v>
      </c>
      <c r="D11" s="6" t="s">
        <v>107</v>
      </c>
      <c r="E11" s="7">
        <v>46226</v>
      </c>
      <c r="F11" s="7">
        <v>46235</v>
      </c>
      <c r="G11" s="8">
        <v>1500</v>
      </c>
      <c r="H11" s="6" t="s">
        <v>105</v>
      </c>
    </row>
    <row r="12" spans="2:14" s="1" customFormat="1">
      <c r="B12" s="6" t="s">
        <v>108</v>
      </c>
      <c r="C12" s="6" t="s">
        <v>34</v>
      </c>
      <c r="D12" s="6" t="s">
        <v>109</v>
      </c>
      <c r="E12" s="7">
        <v>46228</v>
      </c>
      <c r="F12" s="7">
        <v>46237</v>
      </c>
      <c r="G12" s="8">
        <v>1750</v>
      </c>
      <c r="H12" s="6" t="s">
        <v>105</v>
      </c>
    </row>
    <row r="13" spans="2:14" s="1" customFormat="1">
      <c r="B13" s="6" t="s">
        <v>110</v>
      </c>
      <c r="C13" s="6" t="s">
        <v>36</v>
      </c>
      <c r="D13" s="6" t="s">
        <v>111</v>
      </c>
      <c r="E13" s="7">
        <v>46210</v>
      </c>
      <c r="F13" s="7">
        <v>46255</v>
      </c>
      <c r="G13" s="8">
        <v>2000</v>
      </c>
      <c r="H13" s="6" t="s">
        <v>98</v>
      </c>
    </row>
    <row r="14" spans="2:14" s="1" customFormat="1">
      <c r="B14" s="6" t="s">
        <v>112</v>
      </c>
      <c r="C14" s="6" t="s">
        <v>38</v>
      </c>
      <c r="D14" s="6" t="s">
        <v>113</v>
      </c>
      <c r="E14" s="7">
        <v>46220</v>
      </c>
      <c r="F14" s="7">
        <v>46230</v>
      </c>
      <c r="G14" s="8">
        <v>1300</v>
      </c>
      <c r="H14" s="6" t="s">
        <v>114</v>
      </c>
    </row>
    <row r="15" spans="2:14" s="1" customFormat="1">
      <c r="B15" s="6" t="s">
        <v>115</v>
      </c>
      <c r="C15" s="6" t="s">
        <v>42</v>
      </c>
      <c r="D15" s="6" t="s">
        <v>116</v>
      </c>
      <c r="E15" s="7">
        <v>46235</v>
      </c>
      <c r="F15" s="7">
        <v>46245</v>
      </c>
      <c r="G15" s="8">
        <v>1450</v>
      </c>
      <c r="H15" s="6" t="s">
        <v>105</v>
      </c>
    </row>
    <row r="16" spans="2:14" s="1" customFormat="1">
      <c r="B16" s="6" t="s">
        <v>117</v>
      </c>
      <c r="C16" s="6" t="s">
        <v>44</v>
      </c>
      <c r="D16" s="6" t="s">
        <v>118</v>
      </c>
      <c r="E16" s="7">
        <v>46195</v>
      </c>
      <c r="F16" s="7">
        <v>46220</v>
      </c>
      <c r="G16" s="8">
        <v>1550</v>
      </c>
      <c r="H16" s="6" t="s">
        <v>119</v>
      </c>
    </row>
    <row r="17" spans="2:8" s="1" customFormat="1">
      <c r="B17" s="6" t="s">
        <v>120</v>
      </c>
      <c r="C17" s="6" t="s">
        <v>46</v>
      </c>
      <c r="D17" s="6" t="s">
        <v>121</v>
      </c>
      <c r="E17" s="7">
        <v>46165</v>
      </c>
      <c r="F17" s="7">
        <v>46205</v>
      </c>
      <c r="G17" s="8">
        <v>1600</v>
      </c>
      <c r="H17" s="6" t="s">
        <v>119</v>
      </c>
    </row>
    <row r="18" spans="2:8" s="1" customFormat="1">
      <c r="B18" s="6" t="s">
        <v>122</v>
      </c>
      <c r="C18" s="6" t="s">
        <v>21</v>
      </c>
      <c r="D18" s="6" t="s">
        <v>97</v>
      </c>
      <c r="E18" s="7">
        <v>46246</v>
      </c>
      <c r="F18" s="7">
        <v>46265</v>
      </c>
      <c r="G18" s="8">
        <v>1550</v>
      </c>
      <c r="H18" s="6" t="s">
        <v>105</v>
      </c>
    </row>
    <row r="19" spans="2:8" s="1" customFormat="1">
      <c r="B19" s="6" t="s">
        <v>123</v>
      </c>
      <c r="C19" s="6" t="s">
        <v>52</v>
      </c>
      <c r="D19" s="6" t="s">
        <v>124</v>
      </c>
      <c r="E19" s="7">
        <v>46227</v>
      </c>
      <c r="F19" s="7">
        <v>46234</v>
      </c>
      <c r="G19" s="8">
        <v>1700</v>
      </c>
      <c r="H19" s="6" t="s">
        <v>105</v>
      </c>
    </row>
    <row r="20" spans="2:8" s="1" customFormat="1">
      <c r="B20" s="6" t="s">
        <v>125</v>
      </c>
      <c r="C20" s="6" t="s">
        <v>62</v>
      </c>
      <c r="D20" s="6" t="s">
        <v>126</v>
      </c>
      <c r="E20" s="7">
        <v>46224</v>
      </c>
      <c r="F20" s="7">
        <v>46228</v>
      </c>
      <c r="G20" s="8">
        <v>1900</v>
      </c>
      <c r="H20" s="6" t="s">
        <v>98</v>
      </c>
    </row>
    <row r="21" spans="2:8" s="1" customFormat="1">
      <c r="B21" s="6" t="s">
        <v>127</v>
      </c>
      <c r="C21" s="6" t="s">
        <v>72</v>
      </c>
      <c r="D21" s="6" t="s">
        <v>128</v>
      </c>
      <c r="E21" s="7">
        <v>46222</v>
      </c>
      <c r="F21" s="7">
        <v>46229</v>
      </c>
      <c r="G21" s="8">
        <v>1450</v>
      </c>
      <c r="H21" s="6" t="s">
        <v>98</v>
      </c>
    </row>
    <row r="22" spans="2:8" s="1" customFormat="1">
      <c r="B22" s="6" t="s">
        <v>129</v>
      </c>
      <c r="C22" s="6" t="s">
        <v>82</v>
      </c>
      <c r="D22" s="6" t="s">
        <v>130</v>
      </c>
      <c r="E22" s="7">
        <v>46230</v>
      </c>
      <c r="F22" s="7">
        <v>46240</v>
      </c>
      <c r="G22" s="8">
        <v>2100</v>
      </c>
      <c r="H22" s="6" t="s">
        <v>105</v>
      </c>
    </row>
    <row r="23" spans="2:8" s="1" customFormat="1"/>
    <row r="24" spans="2:8" s="1" customFormat="1"/>
    <row r="25" spans="2:8" s="1" customFormat="1"/>
    <row r="26" spans="2:8" s="1" customFormat="1"/>
    <row r="27" spans="2:8" s="1" customFormat="1"/>
    <row r="28" spans="2:8" s="1" customFormat="1"/>
    <row r="29" spans="2:8" s="1" customFormat="1"/>
    <row r="30" spans="2:8" s="1" customFormat="1"/>
    <row r="31" spans="2:8" s="1" customFormat="1"/>
    <row r="32" spans="2:8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7">
    <mergeCell ref="B3:N3"/>
    <mergeCell ref="B4:N4"/>
    <mergeCell ref="B2:C2"/>
    <mergeCell ref="D2:E2"/>
    <mergeCell ref="F2:G2"/>
    <mergeCell ref="H2:I2"/>
    <mergeCell ref="J2:K2"/>
  </mergeCells>
  <dataValidations count="1">
    <dataValidation type="list" allowBlank="1" showInputMessage="1" showErrorMessage="1" sqref="C7:C22" xr:uid="{8025AF77-EE42-47E6-8029-EBB952730AF1}">
      <formula1>unit_id_list</formula1>
    </dataValidation>
  </dataValidations>
  <hyperlinks>
    <hyperlink ref="B2" location="'00_Dashboard'!A1" display="00 · DASHBOARD" xr:uid="{00000000-0004-0000-0100-000000000000}"/>
    <hyperlink ref="D2" location="'01_Booking_Master'!A1" display="01 · BOOKING MASTER" xr:uid="{00000000-0004-0000-0100-000001000000}"/>
    <hyperlink ref="F2" location="'02_Unit_Status_Engine'!A1" display="02 · STATUS ENGINE" xr:uid="{00000000-0004-0000-0100-000002000000}"/>
    <hyperlink ref="H2" location="'03_Vacancy_List'!A1" display="03 · VACANCY LIST" xr:uid="{00000000-0004-0000-0100-000003000000}"/>
    <hyperlink ref="J2" location="'04_Parameters'!A1" display="04 · PARAMETERS" xr:uid="{00000000-0004-0000-0100-000004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34E64"/>
  </sheetPr>
  <dimension ref="A1:T60"/>
  <sheetViews>
    <sheetView showGridLines="0" workbookViewId="0">
      <pane ySplit="2" topLeftCell="A3" activePane="bottomLeft" state="frozen"/>
      <selection pane="bottomLeft" activeCell="B18" sqref="B18"/>
    </sheetView>
  </sheetViews>
  <sheetFormatPr defaultRowHeight="13.9"/>
  <cols>
    <col min="1" max="1" width="3.73046875" customWidth="1"/>
    <col min="2" max="2" width="8.46484375" customWidth="1"/>
    <col min="3" max="3" width="11.796875" customWidth="1"/>
    <col min="4" max="4" width="14.19921875" customWidth="1"/>
    <col min="5" max="5" width="16.06640625" customWidth="1"/>
    <col min="6" max="6" width="14.46484375" customWidth="1"/>
    <col min="7" max="7" width="15.796875" customWidth="1"/>
    <col min="8" max="20" width="12.73046875" style="1" customWidth="1"/>
  </cols>
  <sheetData>
    <row r="1" spans="1:14" s="1" customFormat="1"/>
    <row r="2" spans="1:14" ht="15.4">
      <c r="A2" s="1"/>
      <c r="B2" s="27" t="s">
        <v>0</v>
      </c>
      <c r="C2" s="27"/>
      <c r="D2" s="27" t="s">
        <v>1</v>
      </c>
      <c r="E2" s="27"/>
      <c r="F2" s="28" t="s">
        <v>2</v>
      </c>
      <c r="G2" s="28"/>
      <c r="H2" s="27" t="s">
        <v>3</v>
      </c>
      <c r="I2" s="27"/>
      <c r="J2" s="27" t="s">
        <v>4</v>
      </c>
      <c r="K2" s="27"/>
    </row>
    <row r="3" spans="1:14" s="1" customFormat="1" ht="25.5">
      <c r="B3" s="26" t="s">
        <v>131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s="1" customFormat="1">
      <c r="B4" s="24" t="s">
        <v>132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s="1" customFormat="1"/>
    <row r="6" spans="1:14" s="1" customFormat="1" ht="15.4">
      <c r="B6" s="4" t="s">
        <v>17</v>
      </c>
      <c r="C6" s="4" t="s">
        <v>18</v>
      </c>
      <c r="D6" s="4" t="s">
        <v>133</v>
      </c>
      <c r="E6" s="4" t="s">
        <v>134</v>
      </c>
      <c r="F6" s="4" t="s">
        <v>135</v>
      </c>
      <c r="G6" s="4" t="s">
        <v>136</v>
      </c>
    </row>
    <row r="7" spans="1:14" s="1" customFormat="1">
      <c r="B7" s="9" t="str" cm="1">
        <f t="array" ref="B7:B38">tbl_Properties[Unit_ID]</f>
        <v>U01</v>
      </c>
      <c r="C7" s="9" t="str" cm="1">
        <f t="array" ref="C7:C38">_xlfn.XLOOKUP(_xlfn.ANCHORARRAY($B$7),tbl_Properties[Unit_ID],tbl_Properties[Unit_Name])</f>
        <v>Room 101</v>
      </c>
      <c r="D7" s="9" t="str" cm="1">
        <f t="array" aca="1" ref="D7:D38" ca="1">_xlfn.MAP(_xlfn.ANCHORARRAY($B$7),_xlfn.LAMBDA(_xlpm.uid,_xlfn.LET(_xlpm.today,'04_Parameters'!$B$3,_xlpm.alert,'04_Parameters'!$B$4,_xlpm.is_occ,COUNTIFS(tbl_Bookings[Unit_ID],_xlpm.uid,tbl_Bookings[Check_In],"&lt;="&amp;_xlpm.today,tbl_Bookings[Check_Out],"&gt;"&amp;_xlpm.today,tbl_Bookings[Status],"Checked_in")&gt;0,_xlpm.is_res,COUNTIFS(tbl_Bookings[Unit_ID],_xlpm.uid,tbl_Bookings[Check_In],"&lt;="&amp;_xlpm.today,tbl_Bookings[Check_Out],"&gt;"&amp;_xlpm.today,tbl_Bookings[Status],"Confirmed")&gt;0,_xlpm.co_date,_xlfn.MINIFS(tbl_Bookings[Check_Out],tbl_Bookings[Unit_ID],_xlpm.uid,tbl_Bookings[Check_In],"&lt;="&amp;_xlpm.today,tbl_Bookings[Check_Out],"&gt;"&amp;_xlpm.today,tbl_Bookings[Status],"Checked_in"),_xlpm.ci_date,_xlfn.MINIFS(tbl_Bookings[Check_In],tbl_Bookings[Unit_ID],_xlpm.uid,tbl_Bookings[Check_In],"&gt;"&amp;_xlpm.today,tbl_Bookings[Status],"Confirmed"),_xlpm.is_co_soon,_xlpm.is_occ*((_xlpm.co_date-_xlpm.today)&lt;=_xlpm.alert),_xlpm.is_ci_soon,(_xlpm.is_occ=FALSE)*(_xlpm.is_res=FALSE)*(_xlpm.ci_date&gt;0)*((_xlpm.ci_date-_xlpm.today)&lt;=_xlpm.alert),IF(_xlpm.is_occ,IF(_xlpm.is_co_soon,"Checkout Soon","Occupied"),IF(_xlpm.is_res,"Reserved",IF(_xlpm.is_ci_soon,"Check-in Soon","Vacant"))))))</f>
        <v>Occupied</v>
      </c>
      <c r="E7" s="9" t="str" cm="1">
        <f t="array" aca="1" ref="E7:E38" ca="1">_xlfn.MAP(_xlfn.ANCHORARRAY($B$7),_xlfn.LAMBDA(_xlpm.uid,_xlfn.LET(_xlpm.today,'04_Parameters'!$B$3,_xlpm.tenant,_xlfn.XLOOKUP(1,(tbl_Bookings[Unit_ID]=_xlpm.uid)*(tbl_Bookings[Check_In]&lt;=_xlpm.today)*(tbl_Bookings[Check_Out]&gt;_xlpm.today)*(tbl_Bookings[Status]="Checked_in"),tbl_Bookings[Tenant_Name],"-"),_xlpm.tenant)))</f>
        <v>Sarah Johnson</v>
      </c>
      <c r="F7" s="10" cm="1">
        <f t="array" aca="1" ref="F7:F38" ca="1">_xlfn.MAP(_xlfn.ANCHORARRAY($B$7),_xlfn.LAMBDA(_xlpm.uid,_xlfn.LET(_xlpm.today,'04_Parameters'!$B$3,_xlpm.next_ci,_xlfn.MINIFS(tbl_Bookings[Check_In],tbl_Bookings[Unit_ID],_xlpm.uid,tbl_Bookings[Check_In],"&gt;"&amp;_xlpm.today,tbl_Bookings[Status],"Confirmed"),IF(_xlpm.next_ci=0,"-",_xlpm.next_ci))))</f>
        <v>46246</v>
      </c>
      <c r="G7" s="11" cm="1">
        <f t="array" aca="1" ref="G7:G38" ca="1">_xlfn.MAP(_xlfn.ANCHORARRAY($B$7),_xlfn.LAMBDA(_xlpm.uid,_xlfn.LET(_xlpm.today,'04_Parameters'!$B$3,_xlpm.is_occ,COUNTIFS(tbl_Bookings[Unit_ID],_xlpm.uid,tbl_Bookings[Check_In],"&lt;="&amp;_xlpm.today,tbl_Bookings[Check_Out],"&gt;"&amp;_xlpm.today,tbl_Bookings[Status],"Checked_in")&gt;0,_xlpm.co_date,_xlfn.MINIFS(tbl_Bookings[Check_Out],tbl_Bookings[Unit_ID],_xlpm.uid,tbl_Bookings[Check_In],"&lt;="&amp;_xlpm.today,tbl_Bookings[Check_Out],"&gt;"&amp;_xlpm.today,tbl_Bookings[Status],"Checked_in"),_xlpm.ci_date,_xlfn.MINIFS(tbl_Bookings[Check_In],tbl_Bookings[Unit_ID],_xlpm.uid,tbl_Bookings[Check_In],"&gt;"&amp;_xlpm.today,tbl_Bookings[Status],"Confirmed"),IF(_xlpm.is_occ,_xlpm.co_date-_xlpm.today,IF(_xlpm.ci_date&gt;0,_xlpm.ci_date-_xlpm.today,"-")))))</f>
        <v>19</v>
      </c>
    </row>
    <row r="8" spans="1:14" s="1" customFormat="1">
      <c r="B8" s="12" t="str">
        <v>U02</v>
      </c>
      <c r="C8" s="12" t="str">
        <v>Room 102</v>
      </c>
      <c r="D8" s="12" t="str">
        <f ca="1"/>
        <v>Checkout Soon</v>
      </c>
      <c r="E8" s="12" t="str">
        <f ca="1"/>
        <v>Michael Chen</v>
      </c>
      <c r="F8" s="13" t="str">
        <f ca="1"/>
        <v>-</v>
      </c>
      <c r="G8" s="14">
        <f ca="1"/>
        <v>1</v>
      </c>
    </row>
    <row r="9" spans="1:14" s="1" customFormat="1">
      <c r="B9" s="9" t="str">
        <v>U03</v>
      </c>
      <c r="C9" s="9" t="str">
        <v>Room 103</v>
      </c>
      <c r="D9" s="9" t="str">
        <f ca="1"/>
        <v>Vacant</v>
      </c>
      <c r="E9" s="9" t="str">
        <f ca="1"/>
        <v>-</v>
      </c>
      <c r="F9" s="10" t="str">
        <f ca="1"/>
        <v>-</v>
      </c>
      <c r="G9" s="11" t="str">
        <f ca="1"/>
        <v>-</v>
      </c>
    </row>
    <row r="10" spans="1:14" s="1" customFormat="1">
      <c r="B10" s="12" t="str">
        <v>U04</v>
      </c>
      <c r="C10" s="12" t="str">
        <v>Room 104</v>
      </c>
      <c r="D10" s="12" t="str">
        <f ca="1"/>
        <v>Reserved</v>
      </c>
      <c r="E10" s="12" t="str">
        <f ca="1"/>
        <v>-</v>
      </c>
      <c r="F10" s="13" t="str">
        <f ca="1"/>
        <v>-</v>
      </c>
      <c r="G10" s="14" t="str">
        <f ca="1"/>
        <v>-</v>
      </c>
    </row>
    <row r="11" spans="1:14" s="1" customFormat="1">
      <c r="B11" s="9" t="str">
        <v>U05</v>
      </c>
      <c r="C11" s="9" t="str">
        <v>Room 105</v>
      </c>
      <c r="D11" s="9" t="str">
        <f ca="1"/>
        <v>Reserved</v>
      </c>
      <c r="E11" s="9" t="str">
        <f ca="1"/>
        <v>-</v>
      </c>
      <c r="F11" s="10" t="str">
        <f ca="1"/>
        <v>-</v>
      </c>
      <c r="G11" s="11" t="str">
        <f ca="1"/>
        <v>-</v>
      </c>
    </row>
    <row r="12" spans="1:14" s="1" customFormat="1">
      <c r="B12" s="12" t="str">
        <v>U06</v>
      </c>
      <c r="C12" s="12" t="str">
        <v>Room 106</v>
      </c>
      <c r="D12" s="12" t="str">
        <f ca="1"/>
        <v>Check-in Soon</v>
      </c>
      <c r="E12" s="12" t="str">
        <f ca="1"/>
        <v>-</v>
      </c>
      <c r="F12" s="13">
        <f ca="1"/>
        <v>46228</v>
      </c>
      <c r="G12" s="14">
        <f ca="1"/>
        <v>2</v>
      </c>
    </row>
    <row r="13" spans="1:14" s="1" customFormat="1">
      <c r="B13" s="9" t="str">
        <v>U07</v>
      </c>
      <c r="C13" s="9" t="str">
        <v>Room 107</v>
      </c>
      <c r="D13" s="9" t="str">
        <f ca="1"/>
        <v>Occupied</v>
      </c>
      <c r="E13" s="9" t="str">
        <f ca="1"/>
        <v>Laura Martinez</v>
      </c>
      <c r="F13" s="10" t="str">
        <f ca="1"/>
        <v>-</v>
      </c>
      <c r="G13" s="11">
        <f ca="1"/>
        <v>29</v>
      </c>
    </row>
    <row r="14" spans="1:14" s="1" customFormat="1">
      <c r="B14" s="12" t="str">
        <v>U08</v>
      </c>
      <c r="C14" s="12" t="str">
        <v>Room 108</v>
      </c>
      <c r="D14" s="12" t="str">
        <f ca="1"/>
        <v>Vacant</v>
      </c>
      <c r="E14" s="12" t="str">
        <f ca="1"/>
        <v>-</v>
      </c>
      <c r="F14" s="13" t="str">
        <f ca="1"/>
        <v>-</v>
      </c>
      <c r="G14" s="14" t="str">
        <f ca="1"/>
        <v>-</v>
      </c>
    </row>
    <row r="15" spans="1:14" s="1" customFormat="1">
      <c r="B15" s="9" t="str">
        <v>U09</v>
      </c>
      <c r="C15" s="9" t="str">
        <v>Room 109</v>
      </c>
      <c r="D15" s="9" t="str">
        <f ca="1"/>
        <v>Vacant</v>
      </c>
      <c r="E15" s="9" t="str">
        <f ca="1"/>
        <v>-</v>
      </c>
      <c r="F15" s="10" t="str">
        <f ca="1"/>
        <v>-</v>
      </c>
      <c r="G15" s="11" t="str">
        <f ca="1"/>
        <v>-</v>
      </c>
    </row>
    <row r="16" spans="1:14" s="1" customFormat="1">
      <c r="B16" s="12" t="str">
        <v>U10</v>
      </c>
      <c r="C16" s="12" t="str">
        <v>Room 110</v>
      </c>
      <c r="D16" s="12" t="str">
        <f ca="1"/>
        <v>Vacant</v>
      </c>
      <c r="E16" s="12" t="str">
        <f ca="1"/>
        <v>-</v>
      </c>
      <c r="F16" s="13">
        <f ca="1"/>
        <v>46235</v>
      </c>
      <c r="G16" s="14">
        <f ca="1"/>
        <v>9</v>
      </c>
    </row>
    <row r="17" spans="2:7" s="1" customFormat="1">
      <c r="B17" s="9" t="str">
        <v>U11</v>
      </c>
      <c r="C17" s="9" t="str">
        <v>Room 111</v>
      </c>
      <c r="D17" s="9" t="str">
        <f ca="1"/>
        <v>Vacant</v>
      </c>
      <c r="E17" s="9" t="str">
        <f ca="1"/>
        <v>-</v>
      </c>
      <c r="F17" s="10" t="str">
        <f ca="1"/>
        <v>-</v>
      </c>
      <c r="G17" s="11" t="str">
        <f ca="1"/>
        <v>-</v>
      </c>
    </row>
    <row r="18" spans="2:7" s="1" customFormat="1">
      <c r="B18" s="12" t="str">
        <v>U12</v>
      </c>
      <c r="C18" s="12" t="str">
        <v>Room 112</v>
      </c>
      <c r="D18" s="12" t="str">
        <f ca="1"/>
        <v>Vacant</v>
      </c>
      <c r="E18" s="12" t="str">
        <f ca="1"/>
        <v>-</v>
      </c>
      <c r="F18" s="13" t="str">
        <f ca="1"/>
        <v>-</v>
      </c>
      <c r="G18" s="14" t="str">
        <f ca="1"/>
        <v>-</v>
      </c>
    </row>
    <row r="19" spans="2:7" s="1" customFormat="1">
      <c r="B19" s="9" t="str">
        <v>U13</v>
      </c>
      <c r="C19" s="9" t="str">
        <v>Room 113</v>
      </c>
      <c r="D19" s="9" t="str">
        <f ca="1"/>
        <v>Vacant</v>
      </c>
      <c r="E19" s="9" t="str">
        <f ca="1"/>
        <v>-</v>
      </c>
      <c r="F19" s="10" t="str">
        <f ca="1"/>
        <v>-</v>
      </c>
      <c r="G19" s="11" t="str">
        <f ca="1"/>
        <v>-</v>
      </c>
    </row>
    <row r="20" spans="2:7" s="1" customFormat="1">
      <c r="B20" s="12" t="str">
        <v>U14</v>
      </c>
      <c r="C20" s="12" t="str">
        <v>Room 114</v>
      </c>
      <c r="D20" s="12" t="str">
        <f ca="1"/>
        <v>Vacant</v>
      </c>
      <c r="E20" s="12" t="str">
        <f ca="1"/>
        <v>-</v>
      </c>
      <c r="F20" s="13" t="str">
        <f ca="1"/>
        <v>-</v>
      </c>
      <c r="G20" s="14" t="str">
        <f ca="1"/>
        <v>-</v>
      </c>
    </row>
    <row r="21" spans="2:7" s="1" customFormat="1">
      <c r="B21" s="9" t="str">
        <v>U15</v>
      </c>
      <c r="C21" s="9" t="str">
        <v>Room 115</v>
      </c>
      <c r="D21" s="9" t="str">
        <f ca="1"/>
        <v>Check-in Soon</v>
      </c>
      <c r="E21" s="9" t="str">
        <f ca="1"/>
        <v>-</v>
      </c>
      <c r="F21" s="10">
        <f ca="1"/>
        <v>46227</v>
      </c>
      <c r="G21" s="11">
        <f ca="1"/>
        <v>1</v>
      </c>
    </row>
    <row r="22" spans="2:7" s="1" customFormat="1">
      <c r="B22" s="12" t="str">
        <v>U16</v>
      </c>
      <c r="C22" s="12" t="str">
        <v>Room 116</v>
      </c>
      <c r="D22" s="12" t="str">
        <f ca="1"/>
        <v>Vacant</v>
      </c>
      <c r="E22" s="12" t="str">
        <f ca="1"/>
        <v>-</v>
      </c>
      <c r="F22" s="13" t="str">
        <f ca="1"/>
        <v>-</v>
      </c>
      <c r="G22" s="14" t="str">
        <f ca="1"/>
        <v>-</v>
      </c>
    </row>
    <row r="23" spans="2:7" s="1" customFormat="1">
      <c r="B23" s="9" t="str">
        <v>U17</v>
      </c>
      <c r="C23" s="9" t="str">
        <v>Room 117</v>
      </c>
      <c r="D23" s="9" t="str">
        <f ca="1"/>
        <v>Vacant</v>
      </c>
      <c r="E23" s="9" t="str">
        <f ca="1"/>
        <v>-</v>
      </c>
      <c r="F23" s="10" t="str">
        <f ca="1"/>
        <v>-</v>
      </c>
      <c r="G23" s="11" t="str">
        <f ca="1"/>
        <v>-</v>
      </c>
    </row>
    <row r="24" spans="2:7" s="1" customFormat="1">
      <c r="B24" s="12" t="str">
        <v>U18</v>
      </c>
      <c r="C24" s="12" t="str">
        <v>Room 118</v>
      </c>
      <c r="D24" s="12" t="str">
        <f ca="1"/>
        <v>Vacant</v>
      </c>
      <c r="E24" s="12" t="str">
        <f ca="1"/>
        <v>-</v>
      </c>
      <c r="F24" s="13" t="str">
        <f ca="1"/>
        <v>-</v>
      </c>
      <c r="G24" s="14" t="str">
        <f ca="1"/>
        <v>-</v>
      </c>
    </row>
    <row r="25" spans="2:7" s="1" customFormat="1">
      <c r="B25" s="9" t="str">
        <v>U19</v>
      </c>
      <c r="C25" s="9" t="str">
        <v>Room 119</v>
      </c>
      <c r="D25" s="9" t="str">
        <f ca="1"/>
        <v>Vacant</v>
      </c>
      <c r="E25" s="9" t="str">
        <f ca="1"/>
        <v>-</v>
      </c>
      <c r="F25" s="10" t="str">
        <f ca="1"/>
        <v>-</v>
      </c>
      <c r="G25" s="11" t="str">
        <f ca="1"/>
        <v>-</v>
      </c>
    </row>
    <row r="26" spans="2:7" s="1" customFormat="1">
      <c r="B26" s="12" t="str">
        <v>U20</v>
      </c>
      <c r="C26" s="12" t="str">
        <v>Room 120</v>
      </c>
      <c r="D26" s="12" t="str">
        <f ca="1"/>
        <v>Checkout Soon</v>
      </c>
      <c r="E26" s="12" t="str">
        <f ca="1"/>
        <v>Sophia Harris</v>
      </c>
      <c r="F26" s="13" t="str">
        <f ca="1"/>
        <v>-</v>
      </c>
      <c r="G26" s="14">
        <f ca="1"/>
        <v>2</v>
      </c>
    </row>
    <row r="27" spans="2:7" s="1" customFormat="1">
      <c r="B27" s="9" t="str">
        <v>U21</v>
      </c>
      <c r="C27" s="9" t="str">
        <v>Room 121</v>
      </c>
      <c r="D27" s="9" t="str">
        <f ca="1"/>
        <v>Vacant</v>
      </c>
      <c r="E27" s="9" t="str">
        <f ca="1"/>
        <v>-</v>
      </c>
      <c r="F27" s="10" t="str">
        <f ca="1"/>
        <v>-</v>
      </c>
      <c r="G27" s="11" t="str">
        <f ca="1"/>
        <v>-</v>
      </c>
    </row>
    <row r="28" spans="2:7" s="1" customFormat="1">
      <c r="B28" s="12" t="str">
        <v>U22</v>
      </c>
      <c r="C28" s="12" t="str">
        <v>Room 122</v>
      </c>
      <c r="D28" s="12" t="str">
        <f ca="1"/>
        <v>Vacant</v>
      </c>
      <c r="E28" s="12" t="str">
        <f ca="1"/>
        <v>-</v>
      </c>
      <c r="F28" s="13" t="str">
        <f ca="1"/>
        <v>-</v>
      </c>
      <c r="G28" s="14" t="str">
        <f ca="1"/>
        <v>-</v>
      </c>
    </row>
    <row r="29" spans="2:7" s="1" customFormat="1">
      <c r="B29" s="9" t="str">
        <v>U23</v>
      </c>
      <c r="C29" s="9" t="str">
        <v>Room 123</v>
      </c>
      <c r="D29" s="9" t="str">
        <f ca="1"/>
        <v>Vacant</v>
      </c>
      <c r="E29" s="9" t="str">
        <f ca="1"/>
        <v>-</v>
      </c>
      <c r="F29" s="10" t="str">
        <f ca="1"/>
        <v>-</v>
      </c>
      <c r="G29" s="11" t="str">
        <f ca="1"/>
        <v>-</v>
      </c>
    </row>
    <row r="30" spans="2:7" s="1" customFormat="1">
      <c r="B30" s="12" t="str">
        <v>U24</v>
      </c>
      <c r="C30" s="12" t="str">
        <v>Room 124</v>
      </c>
      <c r="D30" s="12" t="str">
        <f ca="1"/>
        <v>Vacant</v>
      </c>
      <c r="E30" s="12" t="str">
        <f ca="1"/>
        <v>-</v>
      </c>
      <c r="F30" s="13" t="str">
        <f ca="1"/>
        <v>-</v>
      </c>
      <c r="G30" s="14" t="str">
        <f ca="1"/>
        <v>-</v>
      </c>
    </row>
    <row r="31" spans="2:7" s="1" customFormat="1">
      <c r="B31" s="9" t="str">
        <v>U25</v>
      </c>
      <c r="C31" s="9" t="str">
        <v>Room 125</v>
      </c>
      <c r="D31" s="9" t="str">
        <f ca="1"/>
        <v>Checkout Soon</v>
      </c>
      <c r="E31" s="9" t="str">
        <f ca="1"/>
        <v>Matthew Walker</v>
      </c>
      <c r="F31" s="10" t="str">
        <f ca="1"/>
        <v>-</v>
      </c>
      <c r="G31" s="11">
        <f ca="1"/>
        <v>3</v>
      </c>
    </row>
    <row r="32" spans="2:7" s="1" customFormat="1">
      <c r="B32" s="12" t="str">
        <v>U26</v>
      </c>
      <c r="C32" s="12" t="str">
        <v>Room 126</v>
      </c>
      <c r="D32" s="12" t="str">
        <f ca="1"/>
        <v>Vacant</v>
      </c>
      <c r="E32" s="12" t="str">
        <f ca="1"/>
        <v>-</v>
      </c>
      <c r="F32" s="13" t="str">
        <f ca="1"/>
        <v>-</v>
      </c>
      <c r="G32" s="14" t="str">
        <f ca="1"/>
        <v>-</v>
      </c>
    </row>
    <row r="33" spans="2:7" s="1" customFormat="1">
      <c r="B33" s="9" t="str">
        <v>U27</v>
      </c>
      <c r="C33" s="9" t="str">
        <v>Room 127</v>
      </c>
      <c r="D33" s="9" t="str">
        <f ca="1"/>
        <v>Vacant</v>
      </c>
      <c r="E33" s="9" t="str">
        <f ca="1"/>
        <v>-</v>
      </c>
      <c r="F33" s="10" t="str">
        <f ca="1"/>
        <v>-</v>
      </c>
      <c r="G33" s="11" t="str">
        <f ca="1"/>
        <v>-</v>
      </c>
    </row>
    <row r="34" spans="2:7" s="1" customFormat="1">
      <c r="B34" s="12" t="str">
        <v>U28</v>
      </c>
      <c r="C34" s="12" t="str">
        <v>Room 128</v>
      </c>
      <c r="D34" s="12" t="str">
        <f ca="1"/>
        <v>Vacant</v>
      </c>
      <c r="E34" s="12" t="str">
        <f ca="1"/>
        <v>-</v>
      </c>
      <c r="F34" s="13" t="str">
        <f ca="1"/>
        <v>-</v>
      </c>
      <c r="G34" s="14" t="str">
        <f ca="1"/>
        <v>-</v>
      </c>
    </row>
    <row r="35" spans="2:7" s="1" customFormat="1">
      <c r="B35" s="9" t="str">
        <v>U29</v>
      </c>
      <c r="C35" s="9" t="str">
        <v>Room 129</v>
      </c>
      <c r="D35" s="9" t="str">
        <f ca="1"/>
        <v>Vacant</v>
      </c>
      <c r="E35" s="9" t="str">
        <f ca="1"/>
        <v>-</v>
      </c>
      <c r="F35" s="10" t="str">
        <f ca="1"/>
        <v>-</v>
      </c>
      <c r="G35" s="11" t="str">
        <f ca="1"/>
        <v>-</v>
      </c>
    </row>
    <row r="36" spans="2:7" s="1" customFormat="1">
      <c r="B36" s="12" t="str">
        <v>U30</v>
      </c>
      <c r="C36" s="12" t="str">
        <v>Room 130</v>
      </c>
      <c r="D36" s="12" t="str">
        <f ca="1"/>
        <v>Vacant</v>
      </c>
      <c r="E36" s="12" t="str">
        <f ca="1"/>
        <v>-</v>
      </c>
      <c r="F36" s="13">
        <f ca="1"/>
        <v>46230</v>
      </c>
      <c r="G36" s="14">
        <f ca="1"/>
        <v>4</v>
      </c>
    </row>
    <row r="37" spans="2:7" s="1" customFormat="1">
      <c r="B37" s="9" t="str">
        <v>U31</v>
      </c>
      <c r="C37" s="9" t="str">
        <v>Room 131</v>
      </c>
      <c r="D37" s="9" t="str">
        <f ca="1"/>
        <v>Vacant</v>
      </c>
      <c r="E37" s="9" t="str">
        <f ca="1"/>
        <v>-</v>
      </c>
      <c r="F37" s="10" t="str">
        <f ca="1"/>
        <v>-</v>
      </c>
      <c r="G37" s="11" t="str">
        <f ca="1"/>
        <v>-</v>
      </c>
    </row>
    <row r="38" spans="2:7" s="1" customFormat="1">
      <c r="B38" s="12" t="str">
        <v>U32</v>
      </c>
      <c r="C38" s="12" t="str">
        <v>Room 132</v>
      </c>
      <c r="D38" s="12" t="str">
        <f ca="1"/>
        <v>Vacant</v>
      </c>
      <c r="E38" s="12" t="str">
        <f ca="1"/>
        <v>-</v>
      </c>
      <c r="F38" s="13" t="str">
        <f ca="1"/>
        <v>-</v>
      </c>
      <c r="G38" s="14" t="str">
        <f ca="1"/>
        <v>-</v>
      </c>
    </row>
    <row r="39" spans="2:7" s="1" customFormat="1"/>
    <row r="40" spans="2:7" s="1" customFormat="1"/>
    <row r="41" spans="2:7" s="1" customFormat="1"/>
    <row r="42" spans="2:7" s="1" customFormat="1"/>
    <row r="43" spans="2:7" s="1" customFormat="1"/>
    <row r="44" spans="2:7" s="1" customFormat="1"/>
    <row r="45" spans="2:7" s="1" customFormat="1"/>
    <row r="46" spans="2:7" s="1" customFormat="1"/>
    <row r="47" spans="2:7" s="1" customFormat="1"/>
    <row r="48" spans="2:7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7">
    <mergeCell ref="B3:N3"/>
    <mergeCell ref="B4:N4"/>
    <mergeCell ref="B2:C2"/>
    <mergeCell ref="D2:E2"/>
    <mergeCell ref="F2:G2"/>
    <mergeCell ref="H2:I2"/>
    <mergeCell ref="J2:K2"/>
  </mergeCells>
  <hyperlinks>
    <hyperlink ref="B2" location="'00_Dashboard'!A1" display="00 · DASHBOARD" xr:uid="{00000000-0004-0000-0200-000000000000}"/>
    <hyperlink ref="D2" location="'01_Booking_Master'!A1" display="01 · BOOKING MASTER" xr:uid="{00000000-0004-0000-0200-000001000000}"/>
    <hyperlink ref="F2" location="'02_Unit_Status_Engine'!A1" display="02 · STATUS ENGINE" xr:uid="{00000000-0004-0000-0200-000002000000}"/>
    <hyperlink ref="H2" location="'03_Vacancy_List'!A1" display="03 · VACANCY LIST" xr:uid="{00000000-0004-0000-0200-000003000000}"/>
    <hyperlink ref="J2" location="'04_Parameters'!A1" display="04 · PARAMETERS" xr:uid="{00000000-0004-0000-02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51FF"/>
  </sheetPr>
  <dimension ref="B1:T60"/>
  <sheetViews>
    <sheetView showGridLines="0" workbookViewId="0">
      <pane ySplit="2" topLeftCell="A3" activePane="bottomLeft" state="frozen"/>
      <selection pane="bottomLeft" activeCell="F28" sqref="F28"/>
    </sheetView>
  </sheetViews>
  <sheetFormatPr defaultRowHeight="14.45" customHeight="1"/>
  <cols>
    <col min="1" max="1" width="3.73046875" customWidth="1"/>
    <col min="2" max="2" width="10.73046875" customWidth="1"/>
    <col min="3" max="3" width="14.73046875" customWidth="1"/>
    <col min="4" max="5" width="13.73046875" customWidth="1"/>
    <col min="6" max="6" width="18.73046875" customWidth="1"/>
    <col min="7" max="7" width="14.73046875" customWidth="1"/>
    <col min="8" max="8" width="15.73046875" customWidth="1"/>
    <col min="9" max="20" width="12.73046875" style="1" customWidth="1"/>
  </cols>
  <sheetData>
    <row r="1" spans="2:11" s="1" customFormat="1" ht="14.45" customHeight="1"/>
    <row r="2" spans="2:11" ht="22.05" customHeight="1">
      <c r="B2" s="27" t="s">
        <v>0</v>
      </c>
      <c r="C2" s="27"/>
      <c r="D2" s="27" t="s">
        <v>1</v>
      </c>
      <c r="E2" s="27"/>
      <c r="F2" s="27" t="s">
        <v>2</v>
      </c>
      <c r="G2" s="27"/>
      <c r="H2" s="28" t="s">
        <v>3</v>
      </c>
      <c r="I2" s="28"/>
      <c r="J2" s="27" t="s">
        <v>4</v>
      </c>
      <c r="K2" s="27"/>
    </row>
    <row r="3" spans="2:11" s="1" customFormat="1" ht="14.45" customHeight="1">
      <c r="B3" s="26" t="s">
        <v>137</v>
      </c>
      <c r="C3" s="26"/>
      <c r="D3" s="26"/>
      <c r="E3" s="26"/>
      <c r="F3" s="26"/>
      <c r="G3" s="26"/>
      <c r="H3" s="26"/>
    </row>
    <row r="4" spans="2:11" s="1" customFormat="1" ht="14.45" customHeight="1">
      <c r="B4" s="24" t="s">
        <v>138</v>
      </c>
      <c r="C4" s="24"/>
      <c r="D4" s="24"/>
      <c r="E4" s="24"/>
      <c r="F4" s="24"/>
      <c r="G4" s="24"/>
      <c r="H4" s="24"/>
    </row>
    <row r="5" spans="2:11" s="1" customFormat="1" ht="14.45" customHeight="1"/>
    <row r="6" spans="2:11" s="1" customFormat="1" ht="14.45" customHeight="1">
      <c r="B6" s="4" t="s">
        <v>17</v>
      </c>
      <c r="C6" s="4" t="s">
        <v>18</v>
      </c>
      <c r="D6" s="4" t="s">
        <v>19</v>
      </c>
      <c r="E6" s="4" t="s">
        <v>20</v>
      </c>
      <c r="F6" s="4" t="s">
        <v>139</v>
      </c>
      <c r="G6" s="4" t="s">
        <v>135</v>
      </c>
      <c r="H6" s="4" t="s">
        <v>136</v>
      </c>
    </row>
    <row r="7" spans="2:11" s="1" customFormat="1" ht="14.45" customHeight="1">
      <c r="B7" s="9" t="str" cm="1">
        <f t="array" aca="1" ref="B7:B31" ca="1">_xlfn._xlws.FILTER(_xlfn.ANCHORARRAY('02_Unit_Status_Engine'!$B$7),(_xlfn.ANCHORARRAY('02_Unit_Status_Engine'!$D$7)="Vacant")+(_xlfn.ANCHORARRAY('02_Unit_Status_Engine'!$D$7)="Check-in Soon"),"No vacant units available")</f>
        <v>U03</v>
      </c>
      <c r="C7" s="9" t="str" cm="1">
        <f t="array" aca="1" ref="C7:C31" ca="1">IF(_xlfn.ANCHORARRAY($B$7)="No vacant units available","",_xlfn.XLOOKUP(_xlfn.ANCHORARRAY($B$7),tbl_Properties[Unit_ID],tbl_Properties[Unit_Name],"-"))</f>
        <v>Room 103</v>
      </c>
      <c r="D7" s="9" t="str" cm="1">
        <f t="array" aca="1" ref="D7:D31" ca="1">IF(_xlfn.ANCHORARRAY($B$7)="No vacant units available","",_xlfn.XLOOKUP(_xlfn.ANCHORARRAY($B$7),tbl_Properties[Unit_ID],tbl_Properties[Room_Type],"-"))</f>
        <v>1-Bedroom</v>
      </c>
      <c r="E7" s="15" cm="1">
        <f t="array" aca="1" ref="E7:E31" ca="1">IF(_xlfn.ANCHORARRAY($B$7)="No vacant units available","",_xlfn.XLOOKUP(_xlfn.ANCHORARRAY($B$7),tbl_Properties[Unit_ID],tbl_Properties[Base_Rent],0))</f>
        <v>1625</v>
      </c>
      <c r="F7" s="9" t="str" cm="1">
        <f t="array" aca="1" ref="F7:F31" ca="1">IF(_xlfn.ANCHORARRAY($B$7)="No vacant units available","",_xlfn.XLOOKUP(_xlfn.ANCHORARRAY($B$7),_xlfn.ANCHORARRAY('02_Unit_Status_Engine'!$B$7),_xlfn.ANCHORARRAY('02_Unit_Status_Engine'!$D$7),"-"))</f>
        <v>Vacant</v>
      </c>
      <c r="G7" s="10" t="str" cm="1">
        <f t="array" aca="1" ref="G7:G31" ca="1">IF(_xlfn.ANCHORARRAY($B$7)="No vacant units available","",_xlfn.XLOOKUP(_xlfn.ANCHORARRAY($B$7),_xlfn.ANCHORARRAY('02_Unit_Status_Engine'!$B$7),_xlfn.ANCHORARRAY('02_Unit_Status_Engine'!$F$7),"-"))</f>
        <v>-</v>
      </c>
      <c r="H7" s="11" t="str" cm="1">
        <f t="array" aca="1" ref="H7:H31" ca="1">IF(_xlfn.ANCHORARRAY($B$7)="No vacant units available","",_xlfn.XLOOKUP(_xlfn.ANCHORARRAY($B$7),_xlfn.ANCHORARRAY('02_Unit_Status_Engine'!$B$7),_xlfn.ANCHORARRAY('02_Unit_Status_Engine'!$G$7),"-"))</f>
        <v>-</v>
      </c>
    </row>
    <row r="8" spans="2:11" s="1" customFormat="1" ht="14.45" customHeight="1">
      <c r="B8" s="9" t="str">
        <f ca="1"/>
        <v>U06</v>
      </c>
      <c r="C8" s="9" t="str">
        <f ca="1"/>
        <v>Room 106</v>
      </c>
      <c r="D8" s="9" t="str">
        <f ca="1"/>
        <v>1-Bedroom</v>
      </c>
      <c r="E8" s="15">
        <f ca="1"/>
        <v>1525</v>
      </c>
      <c r="F8" s="9" t="str">
        <f ca="1"/>
        <v>Check-in Soon</v>
      </c>
      <c r="G8" s="10">
        <f ca="1"/>
        <v>46228</v>
      </c>
      <c r="H8" s="11">
        <f ca="1"/>
        <v>2</v>
      </c>
    </row>
    <row r="9" spans="2:11" s="1" customFormat="1" ht="14.45" customHeight="1">
      <c r="B9" s="9" t="str">
        <f ca="1"/>
        <v>U08</v>
      </c>
      <c r="C9" s="9" t="str">
        <f ca="1"/>
        <v>Room 108</v>
      </c>
      <c r="D9" s="9" t="str">
        <f ca="1"/>
        <v>2-Bedroom</v>
      </c>
      <c r="E9" s="15">
        <f ca="1"/>
        <v>2025</v>
      </c>
      <c r="F9" s="9" t="str">
        <f ca="1"/>
        <v>Vacant</v>
      </c>
      <c r="G9" s="10" t="str">
        <f ca="1"/>
        <v>-</v>
      </c>
      <c r="H9" s="11" t="str">
        <f ca="1"/>
        <v>-</v>
      </c>
    </row>
    <row r="10" spans="2:11" s="1" customFormat="1" ht="14.45" customHeight="1">
      <c r="B10" s="9" t="str">
        <f ca="1"/>
        <v>U09</v>
      </c>
      <c r="C10" s="9" t="str">
        <f ca="1"/>
        <v>Room 109</v>
      </c>
      <c r="D10" s="9" t="str">
        <f ca="1"/>
        <v>Studio</v>
      </c>
      <c r="E10" s="15">
        <f ca="1"/>
        <v>1350</v>
      </c>
      <c r="F10" s="9" t="str">
        <f ca="1"/>
        <v>Vacant</v>
      </c>
      <c r="G10" s="10" t="str">
        <f ca="1"/>
        <v>-</v>
      </c>
      <c r="H10" s="11" t="str">
        <f ca="1"/>
        <v>-</v>
      </c>
    </row>
    <row r="11" spans="2:11" s="1" customFormat="1" ht="14.45" customHeight="1">
      <c r="B11" s="9" t="str">
        <f ca="1"/>
        <v>U10</v>
      </c>
      <c r="C11" s="9" t="str">
        <f ca="1"/>
        <v>Room 110</v>
      </c>
      <c r="D11" s="9" t="str">
        <f ca="1"/>
        <v>1-Bedroom</v>
      </c>
      <c r="E11" s="15">
        <f ca="1"/>
        <v>1500</v>
      </c>
      <c r="F11" s="9" t="str">
        <f ca="1"/>
        <v>Vacant</v>
      </c>
      <c r="G11" s="10">
        <f ca="1"/>
        <v>46235</v>
      </c>
      <c r="H11" s="11">
        <f ca="1"/>
        <v>9</v>
      </c>
    </row>
    <row r="12" spans="2:11" s="1" customFormat="1" ht="14.45" customHeight="1">
      <c r="B12" s="9" t="str">
        <f ca="1"/>
        <v>U11</v>
      </c>
      <c r="C12" s="9" t="str">
        <f ca="1"/>
        <v>Room 111</v>
      </c>
      <c r="D12" s="9" t="str">
        <f ca="1"/>
        <v>1-Bedroom</v>
      </c>
      <c r="E12" s="15">
        <f ca="1"/>
        <v>1575</v>
      </c>
      <c r="F12" s="9" t="str">
        <f ca="1"/>
        <v>Vacant</v>
      </c>
      <c r="G12" s="10" t="str">
        <f ca="1"/>
        <v>-</v>
      </c>
      <c r="H12" s="11" t="str">
        <f ca="1"/>
        <v>-</v>
      </c>
    </row>
    <row r="13" spans="2:11" s="1" customFormat="1" ht="14.45" customHeight="1">
      <c r="B13" s="9" t="str">
        <f ca="1"/>
        <v>U12</v>
      </c>
      <c r="C13" s="9" t="str">
        <f ca="1"/>
        <v>Room 112</v>
      </c>
      <c r="D13" s="9" t="str">
        <f ca="1"/>
        <v>2-Bedroom</v>
      </c>
      <c r="E13" s="15">
        <f ca="1"/>
        <v>2000</v>
      </c>
      <c r="F13" s="9" t="str">
        <f ca="1"/>
        <v>Vacant</v>
      </c>
      <c r="G13" s="10" t="str">
        <f ca="1"/>
        <v>-</v>
      </c>
      <c r="H13" s="11" t="str">
        <f ca="1"/>
        <v>-</v>
      </c>
    </row>
    <row r="14" spans="2:11" s="1" customFormat="1" ht="14.45" customHeight="1">
      <c r="B14" s="9" t="str">
        <f ca="1"/>
        <v>U13</v>
      </c>
      <c r="C14" s="9" t="str">
        <f ca="1"/>
        <v>Room 113</v>
      </c>
      <c r="D14" s="9" t="str">
        <f ca="1"/>
        <v>Studio</v>
      </c>
      <c r="E14" s="15">
        <f ca="1"/>
        <v>1325</v>
      </c>
      <c r="F14" s="9" t="str">
        <f ca="1"/>
        <v>Vacant</v>
      </c>
      <c r="G14" s="10" t="str">
        <f ca="1"/>
        <v>-</v>
      </c>
      <c r="H14" s="11" t="str">
        <f ca="1"/>
        <v>-</v>
      </c>
    </row>
    <row r="15" spans="2:11" s="1" customFormat="1" ht="14.45" customHeight="1">
      <c r="B15" s="9" t="str">
        <f ca="1"/>
        <v>U14</v>
      </c>
      <c r="C15" s="9" t="str">
        <f ca="1"/>
        <v>Room 114</v>
      </c>
      <c r="D15" s="9" t="str">
        <f ca="1"/>
        <v>1-Bedroom</v>
      </c>
      <c r="E15" s="15">
        <f ca="1"/>
        <v>1600</v>
      </c>
      <c r="F15" s="9" t="str">
        <f ca="1"/>
        <v>Vacant</v>
      </c>
      <c r="G15" s="10" t="str">
        <f ca="1"/>
        <v>-</v>
      </c>
      <c r="H15" s="11" t="str">
        <f ca="1"/>
        <v>-</v>
      </c>
    </row>
    <row r="16" spans="2:11" s="1" customFormat="1" ht="14.45" customHeight="1">
      <c r="B16" s="9" t="str">
        <f ca="1"/>
        <v>U15</v>
      </c>
      <c r="C16" s="9" t="str">
        <f ca="1"/>
        <v>Room 115</v>
      </c>
      <c r="D16" s="9" t="str">
        <f ca="1"/>
        <v>1-Bedroom</v>
      </c>
      <c r="E16" s="15">
        <f ca="1"/>
        <v>1550</v>
      </c>
      <c r="F16" s="9" t="str">
        <f ca="1"/>
        <v>Check-in Soon</v>
      </c>
      <c r="G16" s="10">
        <f ca="1"/>
        <v>46227</v>
      </c>
      <c r="H16" s="11">
        <f ca="1"/>
        <v>1</v>
      </c>
    </row>
    <row r="17" spans="2:8" s="1" customFormat="1" ht="14.45" customHeight="1">
      <c r="B17" s="9" t="str">
        <f ca="1"/>
        <v>U16</v>
      </c>
      <c r="C17" s="9" t="str">
        <f ca="1"/>
        <v>Room 116</v>
      </c>
      <c r="D17" s="9" t="str">
        <f ca="1"/>
        <v>2-Bedroom</v>
      </c>
      <c r="E17" s="15">
        <f ca="1"/>
        <v>1975</v>
      </c>
      <c r="F17" s="9" t="str">
        <f ca="1"/>
        <v>Vacant</v>
      </c>
      <c r="G17" s="10" t="str">
        <f ca="1"/>
        <v>-</v>
      </c>
      <c r="H17" s="11" t="str">
        <f ca="1"/>
        <v>-</v>
      </c>
    </row>
    <row r="18" spans="2:8" s="1" customFormat="1" ht="14.45" customHeight="1">
      <c r="B18" s="9" t="str">
        <f ca="1"/>
        <v>U17</v>
      </c>
      <c r="C18" s="9" t="str">
        <f ca="1"/>
        <v>Room 117</v>
      </c>
      <c r="D18" s="9" t="str">
        <f ca="1"/>
        <v>Studio</v>
      </c>
      <c r="E18" s="15">
        <f ca="1"/>
        <v>1300</v>
      </c>
      <c r="F18" s="9" t="str">
        <f ca="1"/>
        <v>Vacant</v>
      </c>
      <c r="G18" s="10" t="str">
        <f ca="1"/>
        <v>-</v>
      </c>
      <c r="H18" s="11" t="str">
        <f ca="1"/>
        <v>-</v>
      </c>
    </row>
    <row r="19" spans="2:8" s="1" customFormat="1" ht="14.45" customHeight="1">
      <c r="B19" s="9" t="str">
        <f ca="1"/>
        <v>U18</v>
      </c>
      <c r="C19" s="9" t="str">
        <f ca="1"/>
        <v>Room 118</v>
      </c>
      <c r="D19" s="9" t="str">
        <f ca="1"/>
        <v>1-Bedroom</v>
      </c>
      <c r="E19" s="15">
        <f ca="1"/>
        <v>1575</v>
      </c>
      <c r="F19" s="9" t="str">
        <f ca="1"/>
        <v>Vacant</v>
      </c>
      <c r="G19" s="10" t="str">
        <f ca="1"/>
        <v>-</v>
      </c>
      <c r="H19" s="11" t="str">
        <f ca="1"/>
        <v>-</v>
      </c>
    </row>
    <row r="20" spans="2:8" s="1" customFormat="1" ht="14.45" customHeight="1">
      <c r="B20" s="9" t="str">
        <f ca="1"/>
        <v>U19</v>
      </c>
      <c r="C20" s="9" t="str">
        <f ca="1"/>
        <v>Room 119</v>
      </c>
      <c r="D20" s="9" t="str">
        <f ca="1"/>
        <v>1-Bedroom</v>
      </c>
      <c r="E20" s="15">
        <f ca="1"/>
        <v>1650</v>
      </c>
      <c r="F20" s="9" t="str">
        <f ca="1"/>
        <v>Vacant</v>
      </c>
      <c r="G20" s="10" t="str">
        <f ca="1"/>
        <v>-</v>
      </c>
      <c r="H20" s="11" t="str">
        <f ca="1"/>
        <v>-</v>
      </c>
    </row>
    <row r="21" spans="2:8" s="1" customFormat="1" ht="14.45" customHeight="1">
      <c r="B21" s="9" t="str">
        <f ca="1"/>
        <v>U21</v>
      </c>
      <c r="C21" s="9" t="str">
        <f ca="1"/>
        <v>Room 121</v>
      </c>
      <c r="D21" s="9" t="str">
        <f ca="1"/>
        <v>Studio</v>
      </c>
      <c r="E21" s="15">
        <f ca="1"/>
        <v>1275</v>
      </c>
      <c r="F21" s="9" t="str">
        <f ca="1"/>
        <v>Vacant</v>
      </c>
      <c r="G21" s="10" t="str">
        <f ca="1"/>
        <v>-</v>
      </c>
      <c r="H21" s="11" t="str">
        <f ca="1"/>
        <v>-</v>
      </c>
    </row>
    <row r="22" spans="2:8" s="1" customFormat="1" ht="14.45" customHeight="1">
      <c r="B22" s="9" t="str">
        <f ca="1"/>
        <v>U22</v>
      </c>
      <c r="C22" s="9" t="str">
        <f ca="1"/>
        <v>Room 122</v>
      </c>
      <c r="D22" s="9" t="str">
        <f ca="1"/>
        <v>1-Bedroom</v>
      </c>
      <c r="E22" s="15">
        <f ca="1"/>
        <v>1550</v>
      </c>
      <c r="F22" s="9" t="str">
        <f ca="1"/>
        <v>Vacant</v>
      </c>
      <c r="G22" s="10" t="str">
        <f ca="1"/>
        <v>-</v>
      </c>
      <c r="H22" s="11" t="str">
        <f ca="1"/>
        <v>-</v>
      </c>
    </row>
    <row r="23" spans="2:8" s="1" customFormat="1" ht="14.45" customHeight="1">
      <c r="B23" s="9" t="str">
        <f ca="1"/>
        <v>U23</v>
      </c>
      <c r="C23" s="9" t="str">
        <f ca="1"/>
        <v>Room 123</v>
      </c>
      <c r="D23" s="9" t="str">
        <f ca="1"/>
        <v>1-Bedroom</v>
      </c>
      <c r="E23" s="15">
        <f ca="1"/>
        <v>1625</v>
      </c>
      <c r="F23" s="9" t="str">
        <f ca="1"/>
        <v>Vacant</v>
      </c>
      <c r="G23" s="10" t="str">
        <f ca="1"/>
        <v>-</v>
      </c>
      <c r="H23" s="11" t="str">
        <f ca="1"/>
        <v>-</v>
      </c>
    </row>
    <row r="24" spans="2:8" s="1" customFormat="1" ht="14.45" customHeight="1">
      <c r="B24" s="9" t="str">
        <f ca="1"/>
        <v>U24</v>
      </c>
      <c r="C24" s="9" t="str">
        <f ca="1"/>
        <v>Room 124</v>
      </c>
      <c r="D24" s="9" t="str">
        <f ca="1"/>
        <v>2-Bedroom</v>
      </c>
      <c r="E24" s="15">
        <f ca="1"/>
        <v>2050</v>
      </c>
      <c r="F24" s="9" t="str">
        <f ca="1"/>
        <v>Vacant</v>
      </c>
      <c r="G24" s="10" t="str">
        <f ca="1"/>
        <v>-</v>
      </c>
      <c r="H24" s="11" t="str">
        <f ca="1"/>
        <v>-</v>
      </c>
    </row>
    <row r="25" spans="2:8" s="1" customFormat="1" ht="14.45" customHeight="1">
      <c r="B25" s="9" t="str">
        <f ca="1"/>
        <v>U26</v>
      </c>
      <c r="C25" s="9" t="str">
        <f ca="1"/>
        <v>Room 126</v>
      </c>
      <c r="D25" s="9" t="str">
        <f ca="1"/>
        <v>1-Bedroom</v>
      </c>
      <c r="E25" s="15">
        <f ca="1"/>
        <v>1525</v>
      </c>
      <c r="F25" s="9" t="str">
        <f ca="1"/>
        <v>Vacant</v>
      </c>
      <c r="G25" s="10" t="str">
        <f ca="1"/>
        <v>-</v>
      </c>
      <c r="H25" s="11" t="str">
        <f ca="1"/>
        <v>-</v>
      </c>
    </row>
    <row r="26" spans="2:8" s="1" customFormat="1" ht="14.45" customHeight="1">
      <c r="B26" s="9" t="str">
        <f ca="1"/>
        <v>U27</v>
      </c>
      <c r="C26" s="9" t="str">
        <f ca="1"/>
        <v>Room 127</v>
      </c>
      <c r="D26" s="9" t="str">
        <f ca="1"/>
        <v>1-Bedroom</v>
      </c>
      <c r="E26" s="15">
        <f ca="1"/>
        <v>1600</v>
      </c>
      <c r="F26" s="9" t="str">
        <f ca="1"/>
        <v>Vacant</v>
      </c>
      <c r="G26" s="10" t="str">
        <f ca="1"/>
        <v>-</v>
      </c>
      <c r="H26" s="11" t="str">
        <f ca="1"/>
        <v>-</v>
      </c>
    </row>
    <row r="27" spans="2:8" s="1" customFormat="1" ht="14.45" customHeight="1">
      <c r="B27" s="9" t="str">
        <f ca="1"/>
        <v>U28</v>
      </c>
      <c r="C27" s="9" t="str">
        <f ca="1"/>
        <v>Room 128</v>
      </c>
      <c r="D27" s="9" t="str">
        <f ca="1"/>
        <v>2-Bedroom</v>
      </c>
      <c r="E27" s="15">
        <f ca="1"/>
        <v>2025</v>
      </c>
      <c r="F27" s="9" t="str">
        <f ca="1"/>
        <v>Vacant</v>
      </c>
      <c r="G27" s="10" t="str">
        <f ca="1"/>
        <v>-</v>
      </c>
      <c r="H27" s="11" t="str">
        <f ca="1"/>
        <v>-</v>
      </c>
    </row>
    <row r="28" spans="2:8" s="1" customFormat="1" ht="14.45" customHeight="1">
      <c r="B28" s="9" t="str">
        <f ca="1"/>
        <v>U29</v>
      </c>
      <c r="C28" s="9" t="str">
        <f ca="1"/>
        <v>Room 129</v>
      </c>
      <c r="D28" s="9" t="str">
        <f ca="1"/>
        <v>Studio</v>
      </c>
      <c r="E28" s="15">
        <f ca="1"/>
        <v>1350</v>
      </c>
      <c r="F28" s="9" t="str">
        <f ca="1"/>
        <v>Vacant</v>
      </c>
      <c r="G28" s="10" t="str">
        <f ca="1"/>
        <v>-</v>
      </c>
      <c r="H28" s="11" t="str">
        <f ca="1"/>
        <v>-</v>
      </c>
    </row>
    <row r="29" spans="2:8" s="1" customFormat="1" ht="14.45" customHeight="1">
      <c r="B29" s="9" t="str">
        <f ca="1"/>
        <v>U30</v>
      </c>
      <c r="C29" s="9" t="str">
        <f ca="1"/>
        <v>Room 130</v>
      </c>
      <c r="D29" s="9" t="str">
        <f ca="1"/>
        <v>1-Bedroom</v>
      </c>
      <c r="E29" s="15">
        <f ca="1"/>
        <v>1500</v>
      </c>
      <c r="F29" s="9" t="str">
        <f ca="1"/>
        <v>Vacant</v>
      </c>
      <c r="G29" s="10">
        <f ca="1"/>
        <v>46230</v>
      </c>
      <c r="H29" s="11">
        <f ca="1"/>
        <v>4</v>
      </c>
    </row>
    <row r="30" spans="2:8" s="1" customFormat="1" ht="14.45" customHeight="1">
      <c r="B30" s="9" t="str">
        <f ca="1"/>
        <v>U31</v>
      </c>
      <c r="C30" s="9" t="str">
        <f ca="1"/>
        <v>Room 131</v>
      </c>
      <c r="D30" s="9" t="str">
        <f ca="1"/>
        <v>1-Bedroom</v>
      </c>
      <c r="E30" s="15">
        <f ca="1"/>
        <v>1575</v>
      </c>
      <c r="F30" s="9" t="str">
        <f ca="1"/>
        <v>Vacant</v>
      </c>
      <c r="G30" s="10" t="str">
        <f ca="1"/>
        <v>-</v>
      </c>
      <c r="H30" s="11" t="str">
        <f ca="1"/>
        <v>-</v>
      </c>
    </row>
    <row r="31" spans="2:8" s="1" customFormat="1" ht="14.45" customHeight="1">
      <c r="B31" s="9" t="str">
        <f ca="1"/>
        <v>U32</v>
      </c>
      <c r="C31" s="9" t="str">
        <f ca="1"/>
        <v>Room 132</v>
      </c>
      <c r="D31" s="9" t="str">
        <f ca="1"/>
        <v>2-Bedroom</v>
      </c>
      <c r="E31" s="15">
        <f ca="1"/>
        <v>2000</v>
      </c>
      <c r="F31" s="9" t="str">
        <f ca="1"/>
        <v>Vacant</v>
      </c>
      <c r="G31" s="10" t="str">
        <f ca="1"/>
        <v>-</v>
      </c>
      <c r="H31" s="11" t="str">
        <f ca="1"/>
        <v>-</v>
      </c>
    </row>
    <row r="32" spans="2:8" s="1" customFormat="1" ht="14.45" customHeight="1"/>
    <row r="33" s="1" customFormat="1" ht="14.45" customHeight="1"/>
    <row r="34" s="1" customFormat="1" ht="14.45" customHeight="1"/>
    <row r="35" s="1" customFormat="1" ht="14.45" customHeight="1"/>
    <row r="36" s="1" customFormat="1" ht="14.45" customHeight="1"/>
    <row r="37" s="1" customFormat="1" ht="14.45" customHeight="1"/>
    <row r="38" s="1" customFormat="1" ht="14.45" customHeight="1"/>
    <row r="39" s="1" customFormat="1" ht="14.45" customHeight="1"/>
    <row r="40" s="1" customFormat="1" ht="14.45" customHeight="1"/>
    <row r="41" s="1" customFormat="1" ht="14.45" customHeight="1"/>
    <row r="42" s="1" customFormat="1" ht="14.45" customHeight="1"/>
    <row r="43" s="1" customFormat="1" ht="14.45" customHeight="1"/>
    <row r="44" s="1" customFormat="1" ht="14.45" customHeight="1"/>
    <row r="45" s="1" customFormat="1" ht="14.45" customHeight="1"/>
    <row r="46" s="1" customFormat="1" ht="14.45" customHeight="1"/>
    <row r="47" s="1" customFormat="1" ht="14.45" customHeight="1"/>
    <row r="48" s="1" customFormat="1" ht="14.45" customHeight="1"/>
    <row r="49" s="1" customFormat="1" ht="14.45" customHeight="1"/>
    <row r="50" s="1" customFormat="1" ht="14.45" customHeight="1"/>
    <row r="51" s="1" customFormat="1" ht="14.45" customHeight="1"/>
    <row r="52" s="1" customFormat="1" ht="14.45" customHeight="1"/>
    <row r="53" s="1" customFormat="1" ht="14.45" customHeight="1"/>
    <row r="54" s="1" customFormat="1" ht="14.45" customHeight="1"/>
    <row r="55" s="1" customFormat="1" ht="14.45" customHeight="1"/>
    <row r="56" s="1" customFormat="1" ht="14.45" customHeight="1"/>
    <row r="57" s="1" customFormat="1" ht="14.45" customHeight="1"/>
    <row r="58" s="1" customFormat="1" ht="14.45" customHeight="1"/>
    <row r="59" s="1" customFormat="1" ht="14.45" customHeight="1"/>
    <row r="60" s="1" customFormat="1" ht="14.45" customHeight="1"/>
  </sheetData>
  <mergeCells count="7">
    <mergeCell ref="J2:K2"/>
    <mergeCell ref="B3:H3"/>
    <mergeCell ref="B4:H4"/>
    <mergeCell ref="B2:C2"/>
    <mergeCell ref="D2:E2"/>
    <mergeCell ref="F2:G2"/>
    <mergeCell ref="H2:I2"/>
  </mergeCells>
  <hyperlinks>
    <hyperlink ref="B2" location="'00_Dashboard'!A1" display="00 · DASHBOARD" xr:uid="{00000000-0004-0000-0300-000000000000}"/>
    <hyperlink ref="D2" location="'01_Booking_Master'!A1" display="01 · BOOKING MASTER" xr:uid="{00000000-0004-0000-0300-000001000000}"/>
    <hyperlink ref="F2" location="'02_Unit_Status_Engine'!A1" display="02 · STATUS ENGINE" xr:uid="{00000000-0004-0000-0300-000002000000}"/>
    <hyperlink ref="H2" location="'03_Vacancy_List'!A1" display="03 · VACANCY LIST" xr:uid="{00000000-0004-0000-0300-000003000000}"/>
    <hyperlink ref="J2" location="'04_Parameters'!A1" display="04 · PARAMETERS" xr:uid="{00000000-0004-0000-03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60"/>
  <sheetViews>
    <sheetView showGridLines="0" tabSelected="1" workbookViewId="0">
      <pane ySplit="2" topLeftCell="A3" activePane="bottomLeft" state="frozen"/>
      <selection pane="bottomLeft" activeCell="B13" sqref="B13:B44"/>
    </sheetView>
  </sheetViews>
  <sheetFormatPr defaultRowHeight="13.9"/>
  <cols>
    <col min="1" max="1" width="3.73046875" customWidth="1"/>
    <col min="2" max="2" width="13.46484375" bestFit="1" customWidth="1"/>
    <col min="3" max="3" width="20.86328125" bestFit="1" customWidth="1"/>
    <col min="4" max="4" width="14.46484375" bestFit="1" customWidth="1"/>
    <col min="5" max="5" width="10.86328125" bestFit="1" customWidth="1"/>
    <col min="6" max="9" width="13.73046875" customWidth="1"/>
    <col min="10" max="20" width="12.73046875" style="1" customWidth="1"/>
  </cols>
  <sheetData>
    <row r="1" spans="2:11" s="1" customFormat="1"/>
    <row r="2" spans="2:11" ht="15.4">
      <c r="B2" s="27" t="s">
        <v>0</v>
      </c>
      <c r="C2" s="27"/>
      <c r="D2" s="27" t="s">
        <v>1</v>
      </c>
      <c r="E2" s="27"/>
      <c r="F2" s="27" t="s">
        <v>2</v>
      </c>
      <c r="G2" s="27"/>
      <c r="H2" s="27" t="s">
        <v>3</v>
      </c>
      <c r="I2" s="27"/>
      <c r="J2" s="28" t="s">
        <v>4</v>
      </c>
      <c r="K2" s="28"/>
    </row>
    <row r="3" spans="2:11" s="1" customFormat="1" ht="27" customHeight="1">
      <c r="B3" s="17">
        <f ca="1">TODAY()</f>
        <v>46226</v>
      </c>
      <c r="C3" s="16" t="s">
        <v>5</v>
      </c>
      <c r="D3" s="25" t="s">
        <v>6</v>
      </c>
      <c r="E3" s="25"/>
      <c r="F3" s="25"/>
      <c r="G3" s="25"/>
      <c r="H3" s="25"/>
      <c r="I3" s="25"/>
    </row>
    <row r="4" spans="2:11" s="1" customFormat="1" ht="27" customHeight="1">
      <c r="B4" s="18">
        <v>3</v>
      </c>
      <c r="C4" s="16" t="s">
        <v>7</v>
      </c>
      <c r="D4" s="25" t="s">
        <v>8</v>
      </c>
      <c r="E4" s="25"/>
      <c r="F4" s="25"/>
      <c r="G4" s="25"/>
      <c r="H4" s="25"/>
      <c r="I4" s="25"/>
    </row>
    <row r="5" spans="2:11" s="1" customFormat="1" ht="27" customHeight="1">
      <c r="B5" s="19">
        <v>0.85</v>
      </c>
      <c r="C5" s="16" t="s">
        <v>9</v>
      </c>
      <c r="D5" s="25" t="s">
        <v>10</v>
      </c>
      <c r="E5" s="25"/>
      <c r="F5" s="25"/>
      <c r="G5" s="25"/>
      <c r="H5" s="25"/>
      <c r="I5" s="25"/>
    </row>
    <row r="6" spans="2:11" s="1" customFormat="1" ht="27" customHeight="1">
      <c r="B6" s="20" t="s">
        <v>11</v>
      </c>
      <c r="C6" s="16" t="s">
        <v>12</v>
      </c>
      <c r="D6" s="25" t="s">
        <v>13</v>
      </c>
      <c r="E6" s="25"/>
      <c r="F6" s="25"/>
      <c r="G6" s="25"/>
      <c r="H6" s="25"/>
      <c r="I6" s="25"/>
    </row>
    <row r="7" spans="2:11" s="1" customFormat="1"/>
    <row r="8" spans="2:11" s="1" customFormat="1" ht="25.5">
      <c r="B8" s="26" t="s">
        <v>14</v>
      </c>
      <c r="C8" s="26"/>
      <c r="D8" s="26"/>
      <c r="E8" s="26"/>
      <c r="F8" s="26"/>
      <c r="G8" s="26"/>
      <c r="H8" s="26"/>
      <c r="I8" s="26"/>
    </row>
    <row r="9" spans="2:11" s="1" customFormat="1"/>
    <row r="10" spans="2:11" s="1" customFormat="1" ht="18">
      <c r="B10" s="23" t="s">
        <v>15</v>
      </c>
      <c r="C10" s="23"/>
      <c r="D10" s="23"/>
      <c r="E10" s="23"/>
      <c r="F10" s="23"/>
    </row>
    <row r="11" spans="2:11" s="1" customFormat="1">
      <c r="B11" s="24" t="s">
        <v>16</v>
      </c>
      <c r="C11" s="24"/>
      <c r="D11" s="24"/>
      <c r="E11" s="24"/>
      <c r="F11" s="24"/>
    </row>
    <row r="12" spans="2:11" s="1" customFormat="1" ht="15.4">
      <c r="B12" s="4" t="s">
        <v>17</v>
      </c>
      <c r="C12" s="4" t="s">
        <v>18</v>
      </c>
      <c r="D12" s="4" t="s">
        <v>19</v>
      </c>
      <c r="E12" s="5" t="s">
        <v>20</v>
      </c>
    </row>
    <row r="13" spans="2:11" s="1" customFormat="1">
      <c r="B13" s="6" t="s">
        <v>21</v>
      </c>
      <c r="C13" s="6" t="s">
        <v>22</v>
      </c>
      <c r="D13" s="6" t="s">
        <v>23</v>
      </c>
      <c r="E13" s="8">
        <v>1275</v>
      </c>
    </row>
    <row r="14" spans="2:11" s="1" customFormat="1">
      <c r="B14" s="6" t="s">
        <v>24</v>
      </c>
      <c r="C14" s="6" t="s">
        <v>25</v>
      </c>
      <c r="D14" s="6" t="s">
        <v>26</v>
      </c>
      <c r="E14" s="8">
        <v>1550</v>
      </c>
    </row>
    <row r="15" spans="2:11" s="1" customFormat="1">
      <c r="B15" s="6" t="s">
        <v>27</v>
      </c>
      <c r="C15" s="6" t="s">
        <v>28</v>
      </c>
      <c r="D15" s="6" t="s">
        <v>26</v>
      </c>
      <c r="E15" s="8">
        <v>1625</v>
      </c>
    </row>
    <row r="16" spans="2:11" s="1" customFormat="1">
      <c r="B16" s="6" t="s">
        <v>29</v>
      </c>
      <c r="C16" s="6" t="s">
        <v>30</v>
      </c>
      <c r="D16" s="6" t="s">
        <v>31</v>
      </c>
      <c r="E16" s="8">
        <v>2050</v>
      </c>
    </row>
    <row r="17" spans="2:5" s="1" customFormat="1">
      <c r="B17" s="6" t="s">
        <v>32</v>
      </c>
      <c r="C17" s="6" t="s">
        <v>33</v>
      </c>
      <c r="D17" s="6" t="s">
        <v>23</v>
      </c>
      <c r="E17" s="8">
        <v>1250</v>
      </c>
    </row>
    <row r="18" spans="2:5" s="1" customFormat="1">
      <c r="B18" s="6" t="s">
        <v>34</v>
      </c>
      <c r="C18" s="6" t="s">
        <v>35</v>
      </c>
      <c r="D18" s="6" t="s">
        <v>26</v>
      </c>
      <c r="E18" s="8">
        <v>1525</v>
      </c>
    </row>
    <row r="19" spans="2:5" s="1" customFormat="1">
      <c r="B19" s="6" t="s">
        <v>36</v>
      </c>
      <c r="C19" s="6" t="s">
        <v>37</v>
      </c>
      <c r="D19" s="6" t="s">
        <v>26</v>
      </c>
      <c r="E19" s="8">
        <v>1600</v>
      </c>
    </row>
    <row r="20" spans="2:5" s="1" customFormat="1">
      <c r="B20" s="6" t="s">
        <v>38</v>
      </c>
      <c r="C20" s="6" t="s">
        <v>39</v>
      </c>
      <c r="D20" s="6" t="s">
        <v>31</v>
      </c>
      <c r="E20" s="8">
        <v>2025</v>
      </c>
    </row>
    <row r="21" spans="2:5" s="1" customFormat="1">
      <c r="B21" s="6" t="s">
        <v>40</v>
      </c>
      <c r="C21" s="6" t="s">
        <v>41</v>
      </c>
      <c r="D21" s="6" t="s">
        <v>23</v>
      </c>
      <c r="E21" s="8">
        <v>1350</v>
      </c>
    </row>
    <row r="22" spans="2:5" s="1" customFormat="1">
      <c r="B22" s="6" t="s">
        <v>42</v>
      </c>
      <c r="C22" s="6" t="s">
        <v>43</v>
      </c>
      <c r="D22" s="6" t="s">
        <v>26</v>
      </c>
      <c r="E22" s="8">
        <v>1500</v>
      </c>
    </row>
    <row r="23" spans="2:5" s="1" customFormat="1">
      <c r="B23" s="6" t="s">
        <v>44</v>
      </c>
      <c r="C23" s="6" t="s">
        <v>45</v>
      </c>
      <c r="D23" s="6" t="s">
        <v>26</v>
      </c>
      <c r="E23" s="8">
        <v>1575</v>
      </c>
    </row>
    <row r="24" spans="2:5" s="1" customFormat="1">
      <c r="B24" s="6" t="s">
        <v>46</v>
      </c>
      <c r="C24" s="6" t="s">
        <v>47</v>
      </c>
      <c r="D24" s="6" t="s">
        <v>31</v>
      </c>
      <c r="E24" s="8">
        <v>2000</v>
      </c>
    </row>
    <row r="25" spans="2:5" s="1" customFormat="1">
      <c r="B25" s="6" t="s">
        <v>48</v>
      </c>
      <c r="C25" s="6" t="s">
        <v>49</v>
      </c>
      <c r="D25" s="6" t="s">
        <v>23</v>
      </c>
      <c r="E25" s="8">
        <v>1325</v>
      </c>
    </row>
    <row r="26" spans="2:5" s="1" customFormat="1">
      <c r="B26" s="6" t="s">
        <v>50</v>
      </c>
      <c r="C26" s="6" t="s">
        <v>51</v>
      </c>
      <c r="D26" s="6" t="s">
        <v>26</v>
      </c>
      <c r="E26" s="8">
        <v>1600</v>
      </c>
    </row>
    <row r="27" spans="2:5" s="1" customFormat="1">
      <c r="B27" s="6" t="s">
        <v>52</v>
      </c>
      <c r="C27" s="6" t="s">
        <v>53</v>
      </c>
      <c r="D27" s="6" t="s">
        <v>26</v>
      </c>
      <c r="E27" s="8">
        <v>1550</v>
      </c>
    </row>
    <row r="28" spans="2:5" s="1" customFormat="1">
      <c r="B28" s="6" t="s">
        <v>54</v>
      </c>
      <c r="C28" s="6" t="s">
        <v>55</v>
      </c>
      <c r="D28" s="6" t="s">
        <v>31</v>
      </c>
      <c r="E28" s="8">
        <v>1975</v>
      </c>
    </row>
    <row r="29" spans="2:5" s="1" customFormat="1">
      <c r="B29" s="6" t="s">
        <v>56</v>
      </c>
      <c r="C29" s="6" t="s">
        <v>57</v>
      </c>
      <c r="D29" s="6" t="s">
        <v>23</v>
      </c>
      <c r="E29" s="8">
        <v>1300</v>
      </c>
    </row>
    <row r="30" spans="2:5" s="1" customFormat="1">
      <c r="B30" s="6" t="s">
        <v>58</v>
      </c>
      <c r="C30" s="6" t="s">
        <v>59</v>
      </c>
      <c r="D30" s="6" t="s">
        <v>26</v>
      </c>
      <c r="E30" s="8">
        <v>1575</v>
      </c>
    </row>
    <row r="31" spans="2:5" s="1" customFormat="1">
      <c r="B31" s="6" t="s">
        <v>60</v>
      </c>
      <c r="C31" s="6" t="s">
        <v>61</v>
      </c>
      <c r="D31" s="6" t="s">
        <v>26</v>
      </c>
      <c r="E31" s="8">
        <v>1650</v>
      </c>
    </row>
    <row r="32" spans="2:5" s="1" customFormat="1">
      <c r="B32" s="6" t="s">
        <v>62</v>
      </c>
      <c r="C32" s="6" t="s">
        <v>63</v>
      </c>
      <c r="D32" s="6" t="s">
        <v>31</v>
      </c>
      <c r="E32" s="8">
        <v>1950</v>
      </c>
    </row>
    <row r="33" spans="2:5" s="1" customFormat="1">
      <c r="B33" s="6" t="s">
        <v>64</v>
      </c>
      <c r="C33" s="6" t="s">
        <v>65</v>
      </c>
      <c r="D33" s="6" t="s">
        <v>23</v>
      </c>
      <c r="E33" s="8">
        <v>1275</v>
      </c>
    </row>
    <row r="34" spans="2:5" s="1" customFormat="1">
      <c r="B34" s="6" t="s">
        <v>66</v>
      </c>
      <c r="C34" s="6" t="s">
        <v>67</v>
      </c>
      <c r="D34" s="6" t="s">
        <v>26</v>
      </c>
      <c r="E34" s="8">
        <v>1550</v>
      </c>
    </row>
    <row r="35" spans="2:5" s="1" customFormat="1">
      <c r="B35" s="6" t="s">
        <v>68</v>
      </c>
      <c r="C35" s="6" t="s">
        <v>69</v>
      </c>
      <c r="D35" s="6" t="s">
        <v>26</v>
      </c>
      <c r="E35" s="8">
        <v>1625</v>
      </c>
    </row>
    <row r="36" spans="2:5" s="1" customFormat="1">
      <c r="B36" s="6" t="s">
        <v>70</v>
      </c>
      <c r="C36" s="6" t="s">
        <v>71</v>
      </c>
      <c r="D36" s="6" t="s">
        <v>31</v>
      </c>
      <c r="E36" s="8">
        <v>2050</v>
      </c>
    </row>
    <row r="37" spans="2:5" s="1" customFormat="1">
      <c r="B37" s="6" t="s">
        <v>72</v>
      </c>
      <c r="C37" s="6" t="s">
        <v>73</v>
      </c>
      <c r="D37" s="6" t="s">
        <v>23</v>
      </c>
      <c r="E37" s="8">
        <v>1250</v>
      </c>
    </row>
    <row r="38" spans="2:5" s="1" customFormat="1">
      <c r="B38" s="6" t="s">
        <v>74</v>
      </c>
      <c r="C38" s="6" t="s">
        <v>75</v>
      </c>
      <c r="D38" s="6" t="s">
        <v>26</v>
      </c>
      <c r="E38" s="8">
        <v>1525</v>
      </c>
    </row>
    <row r="39" spans="2:5" s="1" customFormat="1">
      <c r="B39" s="6" t="s">
        <v>76</v>
      </c>
      <c r="C39" s="6" t="s">
        <v>77</v>
      </c>
      <c r="D39" s="6" t="s">
        <v>26</v>
      </c>
      <c r="E39" s="8">
        <v>1600</v>
      </c>
    </row>
    <row r="40" spans="2:5" s="1" customFormat="1">
      <c r="B40" s="6" t="s">
        <v>78</v>
      </c>
      <c r="C40" s="6" t="s">
        <v>79</v>
      </c>
      <c r="D40" s="6" t="s">
        <v>31</v>
      </c>
      <c r="E40" s="8">
        <v>2025</v>
      </c>
    </row>
    <row r="41" spans="2:5" s="1" customFormat="1">
      <c r="B41" s="6" t="s">
        <v>80</v>
      </c>
      <c r="C41" s="6" t="s">
        <v>81</v>
      </c>
      <c r="D41" s="6" t="s">
        <v>23</v>
      </c>
      <c r="E41" s="8">
        <v>1350</v>
      </c>
    </row>
    <row r="42" spans="2:5" s="1" customFormat="1">
      <c r="B42" s="6" t="s">
        <v>82</v>
      </c>
      <c r="C42" s="6" t="s">
        <v>83</v>
      </c>
      <c r="D42" s="6" t="s">
        <v>26</v>
      </c>
      <c r="E42" s="8">
        <v>1500</v>
      </c>
    </row>
    <row r="43" spans="2:5" s="1" customFormat="1">
      <c r="B43" s="6" t="s">
        <v>84</v>
      </c>
      <c r="C43" s="6" t="s">
        <v>85</v>
      </c>
      <c r="D43" s="6" t="s">
        <v>26</v>
      </c>
      <c r="E43" s="8">
        <v>1575</v>
      </c>
    </row>
    <row r="44" spans="2:5" s="1" customFormat="1">
      <c r="B44" s="6" t="s">
        <v>86</v>
      </c>
      <c r="C44" s="6" t="s">
        <v>87</v>
      </c>
      <c r="D44" s="6" t="s">
        <v>31</v>
      </c>
      <c r="E44" s="8">
        <v>2000</v>
      </c>
    </row>
    <row r="45" spans="2:5" s="1" customFormat="1"/>
    <row r="46" spans="2:5" s="1" customFormat="1"/>
    <row r="47" spans="2:5" s="1" customFormat="1"/>
    <row r="48" spans="2:5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</sheetData>
  <mergeCells count="12">
    <mergeCell ref="B2:C2"/>
    <mergeCell ref="D2:E2"/>
    <mergeCell ref="F2:G2"/>
    <mergeCell ref="H2:I2"/>
    <mergeCell ref="J2:K2"/>
    <mergeCell ref="B10:F10"/>
    <mergeCell ref="B11:F11"/>
    <mergeCell ref="D3:I3"/>
    <mergeCell ref="D4:I4"/>
    <mergeCell ref="D5:I5"/>
    <mergeCell ref="D6:I6"/>
    <mergeCell ref="B8:I8"/>
  </mergeCells>
  <hyperlinks>
    <hyperlink ref="B2" location="'00_Dashboard'!A1" display="00 · DASHBOARD" xr:uid="{00000000-0004-0000-0400-000000000000}"/>
    <hyperlink ref="D2" location="'01_Booking_Master'!A1" display="01 · BOOKING MASTER" xr:uid="{00000000-0004-0000-0400-000001000000}"/>
    <hyperlink ref="F2" location="'02_Unit_Status_Engine'!A1" display="02 · STATUS ENGINE" xr:uid="{00000000-0004-0000-0400-000002000000}"/>
    <hyperlink ref="H2" location="'03_Vacancy_List'!A1" display="03 · VACANCY LIST" xr:uid="{00000000-0004-0000-0400-000003000000}"/>
    <hyperlink ref="J2" location="'04_Parameters'!A1" display="04 · PARAMETERS" xr:uid="{00000000-0004-0000-0400-000004000000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00_Dashboard</vt:lpstr>
      <vt:lpstr>01_Booking_Master</vt:lpstr>
      <vt:lpstr>02_Unit_Status_Engine</vt:lpstr>
      <vt:lpstr>03_Vacancy_List</vt:lpstr>
      <vt:lpstr>04_Parameters</vt:lpstr>
      <vt:lpstr>unit_id_list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Alex</dc:creator>
  <cp:lastModifiedBy>Hong Alex</cp:lastModifiedBy>
  <dcterms:created xsi:type="dcterms:W3CDTF">2026-07-22T02:57:53Z</dcterms:created>
  <dcterms:modified xsi:type="dcterms:W3CDTF">2026-07-23T08:59:36Z</dcterms:modified>
</cp:coreProperties>
</file>